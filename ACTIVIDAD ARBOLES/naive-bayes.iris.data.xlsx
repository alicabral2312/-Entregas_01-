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01eb5db58cea04/Documentos/"/>
    </mc:Choice>
  </mc:AlternateContent>
  <xr:revisionPtr revIDLastSave="87" documentId="13_ncr:1_{CC402301-D1C6-4333-9C03-B1039FDB8A1A}" xr6:coauthVersionLast="47" xr6:coauthVersionMax="47" xr10:uidLastSave="{858DD8CE-D3B4-47EE-A66B-E1ABCF121BD8}"/>
  <bookViews>
    <workbookView xWindow="-110" yWindow="-110" windowWidth="19420" windowHeight="10300" xr2:uid="{00000000-000D-0000-FFFF-FFFF00000000}"/>
  </bookViews>
  <sheets>
    <sheet name="iris.data" sheetId="1" r:id="rId1"/>
    <sheet name="disc_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0" i="2" l="1"/>
  <c r="R160" i="2" s="1"/>
  <c r="L161" i="2"/>
  <c r="P161" i="2" s="1"/>
  <c r="R179" i="2"/>
  <c r="Q179" i="2"/>
  <c r="P179" i="2"/>
  <c r="R178" i="2"/>
  <c r="Q178" i="2"/>
  <c r="P178" i="2"/>
  <c r="R177" i="2"/>
  <c r="Q177" i="2"/>
  <c r="P177" i="2"/>
  <c r="R173" i="2"/>
  <c r="Q173" i="2"/>
  <c r="P173" i="2"/>
  <c r="R172" i="2"/>
  <c r="Q172" i="2"/>
  <c r="P172" i="2"/>
  <c r="R171" i="2"/>
  <c r="Q171" i="2"/>
  <c r="P171" i="2"/>
  <c r="R167" i="2"/>
  <c r="Q167" i="2"/>
  <c r="P167" i="2"/>
  <c r="Q166" i="2"/>
  <c r="R165" i="2"/>
  <c r="Q165" i="2"/>
  <c r="P165" i="2"/>
  <c r="P160" i="2"/>
  <c r="M154" i="2"/>
  <c r="M155" i="2"/>
  <c r="M15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M159" i="2"/>
  <c r="R159" i="2" s="1"/>
  <c r="Q160" i="2" l="1"/>
  <c r="Q161" i="2"/>
  <c r="R161" i="2"/>
  <c r="P159" i="2"/>
  <c r="Q159" i="2"/>
  <c r="P166" i="2"/>
  <c r="R166" i="2"/>
</calcChain>
</file>

<file path=xl/sharedStrings.xml><?xml version="1.0" encoding="utf-8"?>
<sst xmlns="http://schemas.openxmlformats.org/spreadsheetml/2006/main" count="981" uniqueCount="41">
  <si>
    <t>sepall</t>
  </si>
  <si>
    <t>sepalw</t>
  </si>
  <si>
    <t>petall</t>
  </si>
  <si>
    <t>petalw</t>
  </si>
  <si>
    <t>clase</t>
  </si>
  <si>
    <t>Iris-setosa</t>
  </si>
  <si>
    <t>Iris-versicolor</t>
  </si>
  <si>
    <t>Iris-virginica</t>
  </si>
  <si>
    <t>chico</t>
  </si>
  <si>
    <t>mediano</t>
  </si>
  <si>
    <t>grande</t>
  </si>
  <si>
    <t>setosa</t>
  </si>
  <si>
    <t>virginica</t>
  </si>
  <si>
    <t>ch</t>
  </si>
  <si>
    <t>m</t>
  </si>
  <si>
    <t>g</t>
  </si>
  <si>
    <t>versicolor</t>
  </si>
  <si>
    <t>Datos</t>
  </si>
  <si>
    <t>p(setosa)</t>
  </si>
  <si>
    <t>p(versicolor)</t>
  </si>
  <si>
    <t>p(virginica)</t>
  </si>
  <si>
    <t>p</t>
  </si>
  <si>
    <t>Probabilidades a priori P(clase)</t>
  </si>
  <si>
    <t xml:space="preserve">P(sepall=ch|clase) </t>
  </si>
  <si>
    <t xml:space="preserve">P(sepalw=ch|clase) </t>
  </si>
  <si>
    <t xml:space="preserve">P(petall=ch|clase) </t>
  </si>
  <si>
    <t xml:space="preserve">P(petalw=ch|clase) </t>
  </si>
  <si>
    <t xml:space="preserve">Calculando P(Xi|C) </t>
  </si>
  <si>
    <t>Frecuencia de valores de sepall según la clase</t>
  </si>
  <si>
    <t>Frecuencia de valores de sepalw según la clase</t>
  </si>
  <si>
    <t>Frecuencia de valores de petall según la clase</t>
  </si>
  <si>
    <t>Frecuencia de valores de petalw según la clase</t>
  </si>
  <si>
    <t>P(C)</t>
  </si>
  <si>
    <t xml:space="preserve">P(sepall=med|clase) </t>
  </si>
  <si>
    <t xml:space="preserve">P(sepall=gde|clase) </t>
  </si>
  <si>
    <t xml:space="preserve">P(sepalw=med|clase) </t>
  </si>
  <si>
    <t xml:space="preserve">P(sepalw=gde|clase) </t>
  </si>
  <si>
    <t xml:space="preserve">P(petall=med|clase) </t>
  </si>
  <si>
    <t xml:space="preserve">P(petall=gde|clase) </t>
  </si>
  <si>
    <t xml:space="preserve">P(petalw=med|clase) </t>
  </si>
  <si>
    <t xml:space="preserve">P(petalw=gde|clase)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</si>
</sst>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Amasis MT Pro Light"/>
      <family val="1"/>
    </font>
    <font>
      <sz val="12"/>
      <color theme="1"/>
      <name val="Amasis MT Pro Light"/>
      <family val="1"/>
    </font>
    <font>
      <sz val="12"/>
      <name val="Amasis MT Pro Light"/>
      <family val="1"/>
    </font>
    <font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39" borderId="0" xfId="0" applyFill="1"/>
    <xf numFmtId="0" fontId="0" fillId="40" borderId="0" xfId="0" applyFill="1"/>
    <xf numFmtId="0" fontId="18" fillId="0" borderId="0" xfId="0" applyFont="1" applyAlignment="1">
      <alignment horizontal="left" vertical="center" readingOrder="1"/>
    </xf>
    <xf numFmtId="0" fontId="19" fillId="0" borderId="0" xfId="0" applyFont="1"/>
    <xf numFmtId="0" fontId="14" fillId="0" borderId="0" xfId="0" applyFont="1"/>
    <xf numFmtId="0" fontId="20" fillId="33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22" fillId="36" borderId="10" xfId="0" applyFont="1" applyFill="1" applyBorder="1"/>
    <xf numFmtId="0" fontId="22" fillId="0" borderId="10" xfId="0" applyFont="1" applyBorder="1" applyAlignment="1">
      <alignment horizontal="center"/>
    </xf>
    <xf numFmtId="0" fontId="22" fillId="36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22" fillId="35" borderId="10" xfId="0" applyFont="1" applyFill="1" applyBorder="1"/>
    <xf numFmtId="0" fontId="22" fillId="35" borderId="10" xfId="0" applyFont="1" applyFill="1" applyBorder="1" applyAlignment="1">
      <alignment horizontal="center"/>
    </xf>
    <xf numFmtId="0" fontId="21" fillId="37" borderId="10" xfId="0" applyFont="1" applyFill="1" applyBorder="1" applyAlignment="1">
      <alignment horizontal="center"/>
    </xf>
    <xf numFmtId="0" fontId="21" fillId="36" borderId="10" xfId="0" applyFont="1" applyFill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3" fillId="0" borderId="10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masis MT Pro Light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EDA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683CD-6FDD-4D62-922A-3C69DE5FE76B}" name="Tabla1" displayName="Tabla1" ref="A1:E151" totalsRowShown="0" headerRowDxfId="8" dataDxfId="7" headerRowBorderDxfId="15" tableBorderDxfId="16" totalsRowBorderDxfId="14">
  <autoFilter ref="A1:E151" xr:uid="{68E683CD-6FDD-4D62-922A-3C69DE5FE76B}"/>
  <sortState xmlns:xlrd2="http://schemas.microsoft.com/office/spreadsheetml/2017/richdata2" ref="A2:E151">
    <sortCondition ref="A1:A151"/>
  </sortState>
  <tableColumns count="5">
    <tableColumn id="1" xr3:uid="{91253330-E2AC-4848-B763-8EFB3A7D2368}" name="sepall" dataDxfId="13"/>
    <tableColumn id="2" xr3:uid="{C72DEDF8-25A1-4B34-B6FC-89DBFF0B7DE3}" name="sepalw" dataDxfId="12"/>
    <tableColumn id="3" xr3:uid="{03C9A636-A08B-4215-8328-116AD2978BB2}" name="petall" dataDxfId="11"/>
    <tableColumn id="4" xr3:uid="{E8C0F5CB-6919-45FC-BD32-1A70E5CF313D}" name="petalw" dataDxfId="10"/>
    <tableColumn id="5" xr3:uid="{983EC3D4-72FF-4A90-A46F-9E725A530407}" name="clase" dataDxfId="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E065D9-D14D-43E4-9700-5D8C392614BB}" name="Tabla3" displayName="Tabla3" ref="B1:F151" totalsRowShown="0" headerRowDxfId="1" dataDxfId="0">
  <autoFilter ref="B1:F151" xr:uid="{17E065D9-D14D-43E4-9700-5D8C392614BB}"/>
  <sortState xmlns:xlrd2="http://schemas.microsoft.com/office/spreadsheetml/2017/richdata2" ref="B2:F151">
    <sortCondition ref="B1:B151"/>
  </sortState>
  <tableColumns count="5">
    <tableColumn id="1" xr3:uid="{6FF4FB32-F4D9-4F32-A5AD-F761FA430075}" name="sepall" dataDxfId="6"/>
    <tableColumn id="2" xr3:uid="{17B50EC6-B5CC-4BAB-9D6B-C96D519A367A}" name="sepalw" dataDxfId="5"/>
    <tableColumn id="3" xr3:uid="{79771C94-4E34-4901-A88F-4A0C7FFC8F36}" name="petall" dataDxfId="4"/>
    <tableColumn id="4" xr3:uid="{1AFFEAE4-6F68-4E61-B731-1C36D0F72B8B}" name="petalw" dataDxfId="3"/>
    <tableColumn id="5" xr3:uid="{BA8B644F-4743-4377-94B3-EF2E408129A9}" name="clase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11" workbookViewId="0">
      <selection sqref="A1:E151"/>
    </sheetView>
  </sheetViews>
  <sheetFormatPr baseColWidth="10" defaultRowHeight="14.5" x14ac:dyDescent="0.35"/>
  <sheetData>
    <row r="1" spans="1:5" ht="16" x14ac:dyDescent="0.4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</row>
    <row r="2" spans="1:5" ht="16" x14ac:dyDescent="0.4">
      <c r="A2" s="25">
        <v>4.3</v>
      </c>
      <c r="B2" s="13">
        <v>3</v>
      </c>
      <c r="C2" s="13">
        <v>1.1000000000000001</v>
      </c>
      <c r="D2" s="13">
        <v>0.1</v>
      </c>
      <c r="E2" s="26" t="s">
        <v>5</v>
      </c>
    </row>
    <row r="3" spans="1:5" ht="16" x14ac:dyDescent="0.4">
      <c r="A3" s="25">
        <v>4.4000000000000004</v>
      </c>
      <c r="B3" s="13">
        <v>2.9</v>
      </c>
      <c r="C3" s="13">
        <v>1.4</v>
      </c>
      <c r="D3" s="13">
        <v>0.2</v>
      </c>
      <c r="E3" s="26" t="s">
        <v>5</v>
      </c>
    </row>
    <row r="4" spans="1:5" ht="16" x14ac:dyDescent="0.4">
      <c r="A4" s="25">
        <v>4.4000000000000004</v>
      </c>
      <c r="B4" s="13">
        <v>3</v>
      </c>
      <c r="C4" s="13">
        <v>1.3</v>
      </c>
      <c r="D4" s="13">
        <v>0.2</v>
      </c>
      <c r="E4" s="26" t="s">
        <v>5</v>
      </c>
    </row>
    <row r="5" spans="1:5" ht="16" x14ac:dyDescent="0.4">
      <c r="A5" s="25">
        <v>4.4000000000000004</v>
      </c>
      <c r="B5" s="13">
        <v>3.2</v>
      </c>
      <c r="C5" s="13">
        <v>1.3</v>
      </c>
      <c r="D5" s="13">
        <v>0.2</v>
      </c>
      <c r="E5" s="26" t="s">
        <v>5</v>
      </c>
    </row>
    <row r="6" spans="1:5" ht="16" x14ac:dyDescent="0.4">
      <c r="A6" s="25">
        <v>4.5</v>
      </c>
      <c r="B6" s="13">
        <v>2.2999999999999998</v>
      </c>
      <c r="C6" s="13">
        <v>1.3</v>
      </c>
      <c r="D6" s="13">
        <v>0.3</v>
      </c>
      <c r="E6" s="26" t="s">
        <v>5</v>
      </c>
    </row>
    <row r="7" spans="1:5" ht="16" x14ac:dyDescent="0.4">
      <c r="A7" s="25">
        <v>4.5999999999999996</v>
      </c>
      <c r="B7" s="13">
        <v>3.1</v>
      </c>
      <c r="C7" s="13">
        <v>1.5</v>
      </c>
      <c r="D7" s="13">
        <v>0.2</v>
      </c>
      <c r="E7" s="26" t="s">
        <v>5</v>
      </c>
    </row>
    <row r="8" spans="1:5" ht="16" x14ac:dyDescent="0.4">
      <c r="A8" s="25">
        <v>4.5999999999999996</v>
      </c>
      <c r="B8" s="13">
        <v>3.4</v>
      </c>
      <c r="C8" s="13">
        <v>1.4</v>
      </c>
      <c r="D8" s="13">
        <v>0.3</v>
      </c>
      <c r="E8" s="26" t="s">
        <v>5</v>
      </c>
    </row>
    <row r="9" spans="1:5" ht="16" x14ac:dyDescent="0.4">
      <c r="A9" s="25">
        <v>4.5999999999999996</v>
      </c>
      <c r="B9" s="13">
        <v>3.6</v>
      </c>
      <c r="C9" s="13">
        <v>1</v>
      </c>
      <c r="D9" s="13">
        <v>0.2</v>
      </c>
      <c r="E9" s="26" t="s">
        <v>5</v>
      </c>
    </row>
    <row r="10" spans="1:5" ht="16" x14ac:dyDescent="0.4">
      <c r="A10" s="25">
        <v>4.5999999999999996</v>
      </c>
      <c r="B10" s="13">
        <v>3.2</v>
      </c>
      <c r="C10" s="13">
        <v>1.4</v>
      </c>
      <c r="D10" s="13">
        <v>0.2</v>
      </c>
      <c r="E10" s="26" t="s">
        <v>5</v>
      </c>
    </row>
    <row r="11" spans="1:5" ht="16" x14ac:dyDescent="0.4">
      <c r="A11" s="25">
        <v>4.7</v>
      </c>
      <c r="B11" s="13">
        <v>3.2</v>
      </c>
      <c r="C11" s="13">
        <v>1.3</v>
      </c>
      <c r="D11" s="13">
        <v>0.2</v>
      </c>
      <c r="E11" s="26" t="s">
        <v>5</v>
      </c>
    </row>
    <row r="12" spans="1:5" ht="16" x14ac:dyDescent="0.4">
      <c r="A12" s="25">
        <v>4.7</v>
      </c>
      <c r="B12" s="13">
        <v>3.2</v>
      </c>
      <c r="C12" s="13">
        <v>1.6</v>
      </c>
      <c r="D12" s="13">
        <v>0.2</v>
      </c>
      <c r="E12" s="26" t="s">
        <v>5</v>
      </c>
    </row>
    <row r="13" spans="1:5" ht="16" x14ac:dyDescent="0.4">
      <c r="A13" s="25">
        <v>4.8</v>
      </c>
      <c r="B13" s="13">
        <v>3.4</v>
      </c>
      <c r="C13" s="13">
        <v>1.6</v>
      </c>
      <c r="D13" s="13">
        <v>0.2</v>
      </c>
      <c r="E13" s="26" t="s">
        <v>5</v>
      </c>
    </row>
    <row r="14" spans="1:5" ht="16" x14ac:dyDescent="0.4">
      <c r="A14" s="25">
        <v>4.8</v>
      </c>
      <c r="B14" s="13">
        <v>3</v>
      </c>
      <c r="C14" s="13">
        <v>1.4</v>
      </c>
      <c r="D14" s="13">
        <v>0.1</v>
      </c>
      <c r="E14" s="26" t="s">
        <v>5</v>
      </c>
    </row>
    <row r="15" spans="1:5" ht="16" x14ac:dyDescent="0.4">
      <c r="A15" s="25">
        <v>4.8</v>
      </c>
      <c r="B15" s="13">
        <v>3.4</v>
      </c>
      <c r="C15" s="13">
        <v>1.9</v>
      </c>
      <c r="D15" s="13">
        <v>0.2</v>
      </c>
      <c r="E15" s="26" t="s">
        <v>5</v>
      </c>
    </row>
    <row r="16" spans="1:5" ht="16" x14ac:dyDescent="0.4">
      <c r="A16" s="25">
        <v>4.8</v>
      </c>
      <c r="B16" s="13">
        <v>3.1</v>
      </c>
      <c r="C16" s="13">
        <v>1.6</v>
      </c>
      <c r="D16" s="13">
        <v>0.2</v>
      </c>
      <c r="E16" s="26" t="s">
        <v>5</v>
      </c>
    </row>
    <row r="17" spans="1:5" ht="16" x14ac:dyDescent="0.4">
      <c r="A17" s="25">
        <v>4.8</v>
      </c>
      <c r="B17" s="13">
        <v>3</v>
      </c>
      <c r="C17" s="13">
        <v>1.4</v>
      </c>
      <c r="D17" s="13">
        <v>0.3</v>
      </c>
      <c r="E17" s="26" t="s">
        <v>5</v>
      </c>
    </row>
    <row r="18" spans="1:5" ht="16" x14ac:dyDescent="0.4">
      <c r="A18" s="25">
        <v>4.9000000000000004</v>
      </c>
      <c r="B18" s="13">
        <v>3</v>
      </c>
      <c r="C18" s="13">
        <v>1.4</v>
      </c>
      <c r="D18" s="13">
        <v>0.2</v>
      </c>
      <c r="E18" s="26" t="s">
        <v>5</v>
      </c>
    </row>
    <row r="19" spans="1:5" ht="16" x14ac:dyDescent="0.4">
      <c r="A19" s="25">
        <v>4.9000000000000004</v>
      </c>
      <c r="B19" s="13">
        <v>3.1</v>
      </c>
      <c r="C19" s="13">
        <v>1.5</v>
      </c>
      <c r="D19" s="13">
        <v>0.1</v>
      </c>
      <c r="E19" s="26" t="s">
        <v>5</v>
      </c>
    </row>
    <row r="20" spans="1:5" ht="16" x14ac:dyDescent="0.4">
      <c r="A20" s="25">
        <v>4.9000000000000004</v>
      </c>
      <c r="B20" s="13">
        <v>3.1</v>
      </c>
      <c r="C20" s="13">
        <v>1.5</v>
      </c>
      <c r="D20" s="13">
        <v>0.1</v>
      </c>
      <c r="E20" s="26" t="s">
        <v>5</v>
      </c>
    </row>
    <row r="21" spans="1:5" ht="16" x14ac:dyDescent="0.4">
      <c r="A21" s="25">
        <v>4.9000000000000004</v>
      </c>
      <c r="B21" s="13">
        <v>3.1</v>
      </c>
      <c r="C21" s="13">
        <v>1.5</v>
      </c>
      <c r="D21" s="13">
        <v>0.1</v>
      </c>
      <c r="E21" s="26" t="s">
        <v>5</v>
      </c>
    </row>
    <row r="22" spans="1:5" ht="16" x14ac:dyDescent="0.4">
      <c r="A22" s="25">
        <v>4.9000000000000004</v>
      </c>
      <c r="B22" s="13">
        <v>2.4</v>
      </c>
      <c r="C22" s="13">
        <v>3.3</v>
      </c>
      <c r="D22" s="13">
        <v>1</v>
      </c>
      <c r="E22" s="26" t="s">
        <v>6</v>
      </c>
    </row>
    <row r="23" spans="1:5" ht="16" x14ac:dyDescent="0.4">
      <c r="A23" s="25">
        <v>4.9000000000000004</v>
      </c>
      <c r="B23" s="13">
        <v>2.5</v>
      </c>
      <c r="C23" s="13">
        <v>4.5</v>
      </c>
      <c r="D23" s="13">
        <v>1.7</v>
      </c>
      <c r="E23" s="26" t="s">
        <v>7</v>
      </c>
    </row>
    <row r="24" spans="1:5" ht="16" x14ac:dyDescent="0.4">
      <c r="A24" s="25">
        <v>5</v>
      </c>
      <c r="B24" s="13">
        <v>3.6</v>
      </c>
      <c r="C24" s="13">
        <v>1.4</v>
      </c>
      <c r="D24" s="13">
        <v>0.2</v>
      </c>
      <c r="E24" s="26" t="s">
        <v>5</v>
      </c>
    </row>
    <row r="25" spans="1:5" ht="16" x14ac:dyDescent="0.4">
      <c r="A25" s="25">
        <v>5</v>
      </c>
      <c r="B25" s="13">
        <v>3.4</v>
      </c>
      <c r="C25" s="13">
        <v>1.5</v>
      </c>
      <c r="D25" s="13">
        <v>0.2</v>
      </c>
      <c r="E25" s="26" t="s">
        <v>5</v>
      </c>
    </row>
    <row r="26" spans="1:5" ht="16" x14ac:dyDescent="0.4">
      <c r="A26" s="25">
        <v>5</v>
      </c>
      <c r="B26" s="13">
        <v>3</v>
      </c>
      <c r="C26" s="13">
        <v>1.6</v>
      </c>
      <c r="D26" s="13">
        <v>0.2</v>
      </c>
      <c r="E26" s="26" t="s">
        <v>5</v>
      </c>
    </row>
    <row r="27" spans="1:5" ht="16" x14ac:dyDescent="0.4">
      <c r="A27" s="25">
        <v>5</v>
      </c>
      <c r="B27" s="13">
        <v>3.4</v>
      </c>
      <c r="C27" s="13">
        <v>1.6</v>
      </c>
      <c r="D27" s="13">
        <v>0.4</v>
      </c>
      <c r="E27" s="26" t="s">
        <v>5</v>
      </c>
    </row>
    <row r="28" spans="1:5" ht="16" x14ac:dyDescent="0.4">
      <c r="A28" s="25">
        <v>5</v>
      </c>
      <c r="B28" s="13">
        <v>3.2</v>
      </c>
      <c r="C28" s="13">
        <v>1.2</v>
      </c>
      <c r="D28" s="13">
        <v>0.2</v>
      </c>
      <c r="E28" s="26" t="s">
        <v>5</v>
      </c>
    </row>
    <row r="29" spans="1:5" ht="16" x14ac:dyDescent="0.4">
      <c r="A29" s="25">
        <v>5</v>
      </c>
      <c r="B29" s="13">
        <v>3.5</v>
      </c>
      <c r="C29" s="13">
        <v>1.3</v>
      </c>
      <c r="D29" s="13">
        <v>0.3</v>
      </c>
      <c r="E29" s="26" t="s">
        <v>5</v>
      </c>
    </row>
    <row r="30" spans="1:5" ht="16" x14ac:dyDescent="0.4">
      <c r="A30" s="25">
        <v>5</v>
      </c>
      <c r="B30" s="13">
        <v>3.5</v>
      </c>
      <c r="C30" s="13">
        <v>1.6</v>
      </c>
      <c r="D30" s="13">
        <v>0.6</v>
      </c>
      <c r="E30" s="26" t="s">
        <v>5</v>
      </c>
    </row>
    <row r="31" spans="1:5" ht="16" x14ac:dyDescent="0.4">
      <c r="A31" s="25">
        <v>5</v>
      </c>
      <c r="B31" s="13">
        <v>3.3</v>
      </c>
      <c r="C31" s="13">
        <v>1.4</v>
      </c>
      <c r="D31" s="13">
        <v>0.2</v>
      </c>
      <c r="E31" s="26" t="s">
        <v>5</v>
      </c>
    </row>
    <row r="32" spans="1:5" ht="16" x14ac:dyDescent="0.4">
      <c r="A32" s="25">
        <v>5</v>
      </c>
      <c r="B32" s="13">
        <v>2</v>
      </c>
      <c r="C32" s="13">
        <v>3.5</v>
      </c>
      <c r="D32" s="13">
        <v>1</v>
      </c>
      <c r="E32" s="26" t="s">
        <v>6</v>
      </c>
    </row>
    <row r="33" spans="1:5" ht="16" x14ac:dyDescent="0.4">
      <c r="A33" s="25">
        <v>5</v>
      </c>
      <c r="B33" s="13">
        <v>2.2999999999999998</v>
      </c>
      <c r="C33" s="13">
        <v>3.3</v>
      </c>
      <c r="D33" s="13">
        <v>1</v>
      </c>
      <c r="E33" s="26" t="s">
        <v>6</v>
      </c>
    </row>
    <row r="34" spans="1:5" ht="16" x14ac:dyDescent="0.4">
      <c r="A34" s="25">
        <v>5.0999999999999996</v>
      </c>
      <c r="B34" s="13">
        <v>3.5</v>
      </c>
      <c r="C34" s="13">
        <v>1.4</v>
      </c>
      <c r="D34" s="13">
        <v>0.2</v>
      </c>
      <c r="E34" s="26" t="s">
        <v>5</v>
      </c>
    </row>
    <row r="35" spans="1:5" ht="16" x14ac:dyDescent="0.4">
      <c r="A35" s="25">
        <v>5.0999999999999996</v>
      </c>
      <c r="B35" s="13">
        <v>3.5</v>
      </c>
      <c r="C35" s="13">
        <v>1.4</v>
      </c>
      <c r="D35" s="13">
        <v>0.3</v>
      </c>
      <c r="E35" s="26" t="s">
        <v>5</v>
      </c>
    </row>
    <row r="36" spans="1:5" ht="16" x14ac:dyDescent="0.4">
      <c r="A36" s="25">
        <v>5.0999999999999996</v>
      </c>
      <c r="B36" s="13">
        <v>3.8</v>
      </c>
      <c r="C36" s="13">
        <v>1.5</v>
      </c>
      <c r="D36" s="13">
        <v>0.3</v>
      </c>
      <c r="E36" s="26" t="s">
        <v>5</v>
      </c>
    </row>
    <row r="37" spans="1:5" ht="16" x14ac:dyDescent="0.4">
      <c r="A37" s="25">
        <v>5.0999999999999996</v>
      </c>
      <c r="B37" s="13">
        <v>3.7</v>
      </c>
      <c r="C37" s="13">
        <v>1.5</v>
      </c>
      <c r="D37" s="13">
        <v>0.4</v>
      </c>
      <c r="E37" s="26" t="s">
        <v>5</v>
      </c>
    </row>
    <row r="38" spans="1:5" ht="16" x14ac:dyDescent="0.4">
      <c r="A38" s="25">
        <v>5.0999999999999996</v>
      </c>
      <c r="B38" s="13">
        <v>3.3</v>
      </c>
      <c r="C38" s="13">
        <v>1.7</v>
      </c>
      <c r="D38" s="13">
        <v>0.5</v>
      </c>
      <c r="E38" s="26" t="s">
        <v>5</v>
      </c>
    </row>
    <row r="39" spans="1:5" ht="16" x14ac:dyDescent="0.4">
      <c r="A39" s="25">
        <v>5.0999999999999996</v>
      </c>
      <c r="B39" s="13">
        <v>3.4</v>
      </c>
      <c r="C39" s="13">
        <v>1.5</v>
      </c>
      <c r="D39" s="13">
        <v>0.2</v>
      </c>
      <c r="E39" s="26" t="s">
        <v>5</v>
      </c>
    </row>
    <row r="40" spans="1:5" ht="16" x14ac:dyDescent="0.4">
      <c r="A40" s="25">
        <v>5.0999999999999996</v>
      </c>
      <c r="B40" s="13">
        <v>3.8</v>
      </c>
      <c r="C40" s="13">
        <v>1.9</v>
      </c>
      <c r="D40" s="13">
        <v>0.4</v>
      </c>
      <c r="E40" s="26" t="s">
        <v>5</v>
      </c>
    </row>
    <row r="41" spans="1:5" ht="16" x14ac:dyDescent="0.4">
      <c r="A41" s="25">
        <v>5.0999999999999996</v>
      </c>
      <c r="B41" s="13">
        <v>3.8</v>
      </c>
      <c r="C41" s="13">
        <v>1.6</v>
      </c>
      <c r="D41" s="13">
        <v>0.2</v>
      </c>
      <c r="E41" s="26" t="s">
        <v>5</v>
      </c>
    </row>
    <row r="42" spans="1:5" ht="16" x14ac:dyDescent="0.4">
      <c r="A42" s="25">
        <v>5.0999999999999996</v>
      </c>
      <c r="B42" s="13">
        <v>2.5</v>
      </c>
      <c r="C42" s="13">
        <v>3</v>
      </c>
      <c r="D42" s="13">
        <v>1.1000000000000001</v>
      </c>
      <c r="E42" s="26" t="s">
        <v>6</v>
      </c>
    </row>
    <row r="43" spans="1:5" ht="16" x14ac:dyDescent="0.4">
      <c r="A43" s="25">
        <v>5.2</v>
      </c>
      <c r="B43" s="13">
        <v>3.5</v>
      </c>
      <c r="C43" s="13">
        <v>1.5</v>
      </c>
      <c r="D43" s="13">
        <v>0.2</v>
      </c>
      <c r="E43" s="26" t="s">
        <v>5</v>
      </c>
    </row>
    <row r="44" spans="1:5" ht="16" x14ac:dyDescent="0.4">
      <c r="A44" s="25">
        <v>5.2</v>
      </c>
      <c r="B44" s="13">
        <v>3.4</v>
      </c>
      <c r="C44" s="13">
        <v>1.4</v>
      </c>
      <c r="D44" s="13">
        <v>0.2</v>
      </c>
      <c r="E44" s="26" t="s">
        <v>5</v>
      </c>
    </row>
    <row r="45" spans="1:5" ht="16" x14ac:dyDescent="0.4">
      <c r="A45" s="25">
        <v>5.2</v>
      </c>
      <c r="B45" s="13">
        <v>4.0999999999999996</v>
      </c>
      <c r="C45" s="13">
        <v>1.5</v>
      </c>
      <c r="D45" s="13">
        <v>0.1</v>
      </c>
      <c r="E45" s="26" t="s">
        <v>5</v>
      </c>
    </row>
    <row r="46" spans="1:5" ht="16" x14ac:dyDescent="0.4">
      <c r="A46" s="25">
        <v>5.2</v>
      </c>
      <c r="B46" s="13">
        <v>2.7</v>
      </c>
      <c r="C46" s="13">
        <v>3.9</v>
      </c>
      <c r="D46" s="13">
        <v>1.4</v>
      </c>
      <c r="E46" s="26" t="s">
        <v>6</v>
      </c>
    </row>
    <row r="47" spans="1:5" ht="16" x14ac:dyDescent="0.4">
      <c r="A47" s="25">
        <v>5.3</v>
      </c>
      <c r="B47" s="13">
        <v>3.7</v>
      </c>
      <c r="C47" s="13">
        <v>1.5</v>
      </c>
      <c r="D47" s="13">
        <v>0.2</v>
      </c>
      <c r="E47" s="26" t="s">
        <v>5</v>
      </c>
    </row>
    <row r="48" spans="1:5" ht="16" x14ac:dyDescent="0.4">
      <c r="A48" s="25">
        <v>5.4</v>
      </c>
      <c r="B48" s="13">
        <v>3.9</v>
      </c>
      <c r="C48" s="13">
        <v>1.7</v>
      </c>
      <c r="D48" s="13">
        <v>0.4</v>
      </c>
      <c r="E48" s="26" t="s">
        <v>5</v>
      </c>
    </row>
    <row r="49" spans="1:5" ht="16" x14ac:dyDescent="0.4">
      <c r="A49" s="25">
        <v>5.4</v>
      </c>
      <c r="B49" s="13">
        <v>3.7</v>
      </c>
      <c r="C49" s="13">
        <v>1.5</v>
      </c>
      <c r="D49" s="13">
        <v>0.2</v>
      </c>
      <c r="E49" s="26" t="s">
        <v>5</v>
      </c>
    </row>
    <row r="50" spans="1:5" ht="16" x14ac:dyDescent="0.4">
      <c r="A50" s="25">
        <v>5.4</v>
      </c>
      <c r="B50" s="13">
        <v>3.9</v>
      </c>
      <c r="C50" s="13">
        <v>1.3</v>
      </c>
      <c r="D50" s="13">
        <v>0.4</v>
      </c>
      <c r="E50" s="26" t="s">
        <v>5</v>
      </c>
    </row>
    <row r="51" spans="1:5" ht="16" x14ac:dyDescent="0.4">
      <c r="A51" s="25">
        <v>5.4</v>
      </c>
      <c r="B51" s="13">
        <v>3.4</v>
      </c>
      <c r="C51" s="13">
        <v>1.7</v>
      </c>
      <c r="D51" s="13">
        <v>0.2</v>
      </c>
      <c r="E51" s="26" t="s">
        <v>5</v>
      </c>
    </row>
    <row r="52" spans="1:5" ht="16" x14ac:dyDescent="0.4">
      <c r="A52" s="25">
        <v>5.4</v>
      </c>
      <c r="B52" s="13">
        <v>3.4</v>
      </c>
      <c r="C52" s="13">
        <v>1.5</v>
      </c>
      <c r="D52" s="13">
        <v>0.4</v>
      </c>
      <c r="E52" s="26" t="s">
        <v>5</v>
      </c>
    </row>
    <row r="53" spans="1:5" ht="16" x14ac:dyDescent="0.4">
      <c r="A53" s="25">
        <v>5.4</v>
      </c>
      <c r="B53" s="13">
        <v>3</v>
      </c>
      <c r="C53" s="13">
        <v>4.5</v>
      </c>
      <c r="D53" s="13">
        <v>1.5</v>
      </c>
      <c r="E53" s="26" t="s">
        <v>6</v>
      </c>
    </row>
    <row r="54" spans="1:5" ht="16" x14ac:dyDescent="0.4">
      <c r="A54" s="25">
        <v>5.5</v>
      </c>
      <c r="B54" s="13">
        <v>4.2</v>
      </c>
      <c r="C54" s="13">
        <v>1.4</v>
      </c>
      <c r="D54" s="13">
        <v>0.2</v>
      </c>
      <c r="E54" s="26" t="s">
        <v>5</v>
      </c>
    </row>
    <row r="55" spans="1:5" ht="16" x14ac:dyDescent="0.4">
      <c r="A55" s="25">
        <v>5.5</v>
      </c>
      <c r="B55" s="13">
        <v>3.5</v>
      </c>
      <c r="C55" s="13">
        <v>1.3</v>
      </c>
      <c r="D55" s="13">
        <v>0.2</v>
      </c>
      <c r="E55" s="26" t="s">
        <v>5</v>
      </c>
    </row>
    <row r="56" spans="1:5" ht="16" x14ac:dyDescent="0.4">
      <c r="A56" s="25">
        <v>5.5</v>
      </c>
      <c r="B56" s="13">
        <v>2.2999999999999998</v>
      </c>
      <c r="C56" s="13">
        <v>4</v>
      </c>
      <c r="D56" s="13">
        <v>1.3</v>
      </c>
      <c r="E56" s="26" t="s">
        <v>6</v>
      </c>
    </row>
    <row r="57" spans="1:5" ht="16" x14ac:dyDescent="0.4">
      <c r="A57" s="25">
        <v>5.5</v>
      </c>
      <c r="B57" s="13">
        <v>2.4</v>
      </c>
      <c r="C57" s="13">
        <v>3.8</v>
      </c>
      <c r="D57" s="13">
        <v>1.1000000000000001</v>
      </c>
      <c r="E57" s="26" t="s">
        <v>6</v>
      </c>
    </row>
    <row r="58" spans="1:5" ht="16" x14ac:dyDescent="0.4">
      <c r="A58" s="25">
        <v>5.5</v>
      </c>
      <c r="B58" s="13">
        <v>2.4</v>
      </c>
      <c r="C58" s="13">
        <v>3.7</v>
      </c>
      <c r="D58" s="13">
        <v>1</v>
      </c>
      <c r="E58" s="26" t="s">
        <v>6</v>
      </c>
    </row>
    <row r="59" spans="1:5" ht="16" x14ac:dyDescent="0.4">
      <c r="A59" s="25">
        <v>5.5</v>
      </c>
      <c r="B59" s="13">
        <v>2.5</v>
      </c>
      <c r="C59" s="13">
        <v>4</v>
      </c>
      <c r="D59" s="13">
        <v>1.3</v>
      </c>
      <c r="E59" s="26" t="s">
        <v>6</v>
      </c>
    </row>
    <row r="60" spans="1:5" ht="16" x14ac:dyDescent="0.4">
      <c r="A60" s="25">
        <v>5.5</v>
      </c>
      <c r="B60" s="13">
        <v>2.6</v>
      </c>
      <c r="C60" s="13">
        <v>4.4000000000000004</v>
      </c>
      <c r="D60" s="13">
        <v>1.2</v>
      </c>
      <c r="E60" s="26" t="s">
        <v>6</v>
      </c>
    </row>
    <row r="61" spans="1:5" ht="16" x14ac:dyDescent="0.4">
      <c r="A61" s="25">
        <v>5.6</v>
      </c>
      <c r="B61" s="13">
        <v>2.9</v>
      </c>
      <c r="C61" s="13">
        <v>3.6</v>
      </c>
      <c r="D61" s="13">
        <v>1.3</v>
      </c>
      <c r="E61" s="26" t="s">
        <v>6</v>
      </c>
    </row>
    <row r="62" spans="1:5" ht="16" x14ac:dyDescent="0.4">
      <c r="A62" s="25">
        <v>5.6</v>
      </c>
      <c r="B62" s="13">
        <v>3</v>
      </c>
      <c r="C62" s="13">
        <v>4.5</v>
      </c>
      <c r="D62" s="13">
        <v>1.5</v>
      </c>
      <c r="E62" s="26" t="s">
        <v>6</v>
      </c>
    </row>
    <row r="63" spans="1:5" ht="16" x14ac:dyDescent="0.4">
      <c r="A63" s="25">
        <v>5.6</v>
      </c>
      <c r="B63" s="13">
        <v>2.5</v>
      </c>
      <c r="C63" s="13">
        <v>3.9</v>
      </c>
      <c r="D63" s="13">
        <v>1.1000000000000001</v>
      </c>
      <c r="E63" s="26" t="s">
        <v>6</v>
      </c>
    </row>
    <row r="64" spans="1:5" ht="16" x14ac:dyDescent="0.4">
      <c r="A64" s="25">
        <v>5.6</v>
      </c>
      <c r="B64" s="13">
        <v>3</v>
      </c>
      <c r="C64" s="13">
        <v>4.0999999999999996</v>
      </c>
      <c r="D64" s="13">
        <v>1.3</v>
      </c>
      <c r="E64" s="26" t="s">
        <v>6</v>
      </c>
    </row>
    <row r="65" spans="1:5" ht="16" x14ac:dyDescent="0.4">
      <c r="A65" s="25">
        <v>5.6</v>
      </c>
      <c r="B65" s="13">
        <v>2.7</v>
      </c>
      <c r="C65" s="13">
        <v>4.2</v>
      </c>
      <c r="D65" s="13">
        <v>1.3</v>
      </c>
      <c r="E65" s="26" t="s">
        <v>6</v>
      </c>
    </row>
    <row r="66" spans="1:5" ht="16" x14ac:dyDescent="0.4">
      <c r="A66" s="25">
        <v>5.6</v>
      </c>
      <c r="B66" s="13">
        <v>2.8</v>
      </c>
      <c r="C66" s="13">
        <v>4.9000000000000004</v>
      </c>
      <c r="D66" s="13">
        <v>2</v>
      </c>
      <c r="E66" s="26" t="s">
        <v>7</v>
      </c>
    </row>
    <row r="67" spans="1:5" ht="16" x14ac:dyDescent="0.4">
      <c r="A67" s="25">
        <v>5.7</v>
      </c>
      <c r="B67" s="13">
        <v>4.4000000000000004</v>
      </c>
      <c r="C67" s="13">
        <v>1.5</v>
      </c>
      <c r="D67" s="13">
        <v>0.4</v>
      </c>
      <c r="E67" s="26" t="s">
        <v>5</v>
      </c>
    </row>
    <row r="68" spans="1:5" ht="16" x14ac:dyDescent="0.4">
      <c r="A68" s="25">
        <v>5.7</v>
      </c>
      <c r="B68" s="13">
        <v>3.8</v>
      </c>
      <c r="C68" s="13">
        <v>1.7</v>
      </c>
      <c r="D68" s="13">
        <v>0.3</v>
      </c>
      <c r="E68" s="26" t="s">
        <v>5</v>
      </c>
    </row>
    <row r="69" spans="1:5" ht="16" x14ac:dyDescent="0.4">
      <c r="A69" s="25">
        <v>5.7</v>
      </c>
      <c r="B69" s="13">
        <v>2.8</v>
      </c>
      <c r="C69" s="13">
        <v>4.5</v>
      </c>
      <c r="D69" s="13">
        <v>1.3</v>
      </c>
      <c r="E69" s="26" t="s">
        <v>6</v>
      </c>
    </row>
    <row r="70" spans="1:5" ht="16" x14ac:dyDescent="0.4">
      <c r="A70" s="25">
        <v>5.7</v>
      </c>
      <c r="B70" s="13">
        <v>2.6</v>
      </c>
      <c r="C70" s="13">
        <v>3.5</v>
      </c>
      <c r="D70" s="13">
        <v>1</v>
      </c>
      <c r="E70" s="26" t="s">
        <v>6</v>
      </c>
    </row>
    <row r="71" spans="1:5" ht="16" x14ac:dyDescent="0.4">
      <c r="A71" s="25">
        <v>5.7</v>
      </c>
      <c r="B71" s="13">
        <v>3</v>
      </c>
      <c r="C71" s="13">
        <v>4.2</v>
      </c>
      <c r="D71" s="13">
        <v>1.2</v>
      </c>
      <c r="E71" s="26" t="s">
        <v>6</v>
      </c>
    </row>
    <row r="72" spans="1:5" ht="16" x14ac:dyDescent="0.4">
      <c r="A72" s="25">
        <v>5.7</v>
      </c>
      <c r="B72" s="13">
        <v>2.9</v>
      </c>
      <c r="C72" s="13">
        <v>4.2</v>
      </c>
      <c r="D72" s="13">
        <v>1.3</v>
      </c>
      <c r="E72" s="26" t="s">
        <v>6</v>
      </c>
    </row>
    <row r="73" spans="1:5" ht="16" x14ac:dyDescent="0.4">
      <c r="A73" s="25">
        <v>5.7</v>
      </c>
      <c r="B73" s="13">
        <v>2.8</v>
      </c>
      <c r="C73" s="13">
        <v>4.0999999999999996</v>
      </c>
      <c r="D73" s="13">
        <v>1.3</v>
      </c>
      <c r="E73" s="26" t="s">
        <v>6</v>
      </c>
    </row>
    <row r="74" spans="1:5" ht="16" x14ac:dyDescent="0.4">
      <c r="A74" s="25">
        <v>5.7</v>
      </c>
      <c r="B74" s="13">
        <v>2.5</v>
      </c>
      <c r="C74" s="13">
        <v>5</v>
      </c>
      <c r="D74" s="13">
        <v>2</v>
      </c>
      <c r="E74" s="26" t="s">
        <v>7</v>
      </c>
    </row>
    <row r="75" spans="1:5" ht="16" x14ac:dyDescent="0.4">
      <c r="A75" s="25">
        <v>5.8</v>
      </c>
      <c r="B75" s="13">
        <v>4</v>
      </c>
      <c r="C75" s="13">
        <v>1.2</v>
      </c>
      <c r="D75" s="13">
        <v>0.2</v>
      </c>
      <c r="E75" s="26" t="s">
        <v>5</v>
      </c>
    </row>
    <row r="76" spans="1:5" ht="16" x14ac:dyDescent="0.4">
      <c r="A76" s="25">
        <v>5.8</v>
      </c>
      <c r="B76" s="13">
        <v>2.7</v>
      </c>
      <c r="C76" s="13">
        <v>4.0999999999999996</v>
      </c>
      <c r="D76" s="13">
        <v>1</v>
      </c>
      <c r="E76" s="26" t="s">
        <v>6</v>
      </c>
    </row>
    <row r="77" spans="1:5" ht="16" x14ac:dyDescent="0.4">
      <c r="A77" s="25">
        <v>5.8</v>
      </c>
      <c r="B77" s="13">
        <v>2.7</v>
      </c>
      <c r="C77" s="13">
        <v>3.9</v>
      </c>
      <c r="D77" s="13">
        <v>1.2</v>
      </c>
      <c r="E77" s="26" t="s">
        <v>6</v>
      </c>
    </row>
    <row r="78" spans="1:5" ht="16" x14ac:dyDescent="0.4">
      <c r="A78" s="25">
        <v>5.8</v>
      </c>
      <c r="B78" s="13">
        <v>2.6</v>
      </c>
      <c r="C78" s="13">
        <v>4</v>
      </c>
      <c r="D78" s="13">
        <v>1.2</v>
      </c>
      <c r="E78" s="26" t="s">
        <v>6</v>
      </c>
    </row>
    <row r="79" spans="1:5" ht="16" x14ac:dyDescent="0.4">
      <c r="A79" s="25">
        <v>5.8</v>
      </c>
      <c r="B79" s="13">
        <v>2.7</v>
      </c>
      <c r="C79" s="13">
        <v>5.0999999999999996</v>
      </c>
      <c r="D79" s="13">
        <v>1.9</v>
      </c>
      <c r="E79" s="26" t="s">
        <v>7</v>
      </c>
    </row>
    <row r="80" spans="1:5" ht="16" x14ac:dyDescent="0.4">
      <c r="A80" s="25">
        <v>5.8</v>
      </c>
      <c r="B80" s="13">
        <v>2.8</v>
      </c>
      <c r="C80" s="13">
        <v>5.0999999999999996</v>
      </c>
      <c r="D80" s="13">
        <v>2.4</v>
      </c>
      <c r="E80" s="26" t="s">
        <v>7</v>
      </c>
    </row>
    <row r="81" spans="1:5" ht="16" x14ac:dyDescent="0.4">
      <c r="A81" s="25">
        <v>5.8</v>
      </c>
      <c r="B81" s="13">
        <v>2.7</v>
      </c>
      <c r="C81" s="13">
        <v>5.0999999999999996</v>
      </c>
      <c r="D81" s="13">
        <v>1.9</v>
      </c>
      <c r="E81" s="26" t="s">
        <v>7</v>
      </c>
    </row>
    <row r="82" spans="1:5" ht="16" x14ac:dyDescent="0.4">
      <c r="A82" s="25">
        <v>5.9</v>
      </c>
      <c r="B82" s="13">
        <v>3</v>
      </c>
      <c r="C82" s="13">
        <v>4.2</v>
      </c>
      <c r="D82" s="13">
        <v>1.5</v>
      </c>
      <c r="E82" s="26" t="s">
        <v>6</v>
      </c>
    </row>
    <row r="83" spans="1:5" ht="16" x14ac:dyDescent="0.4">
      <c r="A83" s="25">
        <v>5.9</v>
      </c>
      <c r="B83" s="13">
        <v>3.2</v>
      </c>
      <c r="C83" s="13">
        <v>4.8</v>
      </c>
      <c r="D83" s="13">
        <v>1.8</v>
      </c>
      <c r="E83" s="26" t="s">
        <v>6</v>
      </c>
    </row>
    <row r="84" spans="1:5" ht="16" x14ac:dyDescent="0.4">
      <c r="A84" s="25">
        <v>5.9</v>
      </c>
      <c r="B84" s="13">
        <v>3</v>
      </c>
      <c r="C84" s="13">
        <v>5.0999999999999996</v>
      </c>
      <c r="D84" s="13">
        <v>1.8</v>
      </c>
      <c r="E84" s="26" t="s">
        <v>7</v>
      </c>
    </row>
    <row r="85" spans="1:5" ht="16" x14ac:dyDescent="0.4">
      <c r="A85" s="25">
        <v>6</v>
      </c>
      <c r="B85" s="13">
        <v>2.2000000000000002</v>
      </c>
      <c r="C85" s="13">
        <v>4</v>
      </c>
      <c r="D85" s="13">
        <v>1</v>
      </c>
      <c r="E85" s="26" t="s">
        <v>6</v>
      </c>
    </row>
    <row r="86" spans="1:5" ht="16" x14ac:dyDescent="0.4">
      <c r="A86" s="25">
        <v>6</v>
      </c>
      <c r="B86" s="13">
        <v>2.9</v>
      </c>
      <c r="C86" s="13">
        <v>4.5</v>
      </c>
      <c r="D86" s="13">
        <v>1.5</v>
      </c>
      <c r="E86" s="26" t="s">
        <v>6</v>
      </c>
    </row>
    <row r="87" spans="1:5" ht="16" x14ac:dyDescent="0.4">
      <c r="A87" s="25">
        <v>6</v>
      </c>
      <c r="B87" s="13">
        <v>2.7</v>
      </c>
      <c r="C87" s="13">
        <v>5.0999999999999996</v>
      </c>
      <c r="D87" s="13">
        <v>1.6</v>
      </c>
      <c r="E87" s="26" t="s">
        <v>6</v>
      </c>
    </row>
    <row r="88" spans="1:5" ht="16" x14ac:dyDescent="0.4">
      <c r="A88" s="25">
        <v>6</v>
      </c>
      <c r="B88" s="13">
        <v>3.4</v>
      </c>
      <c r="C88" s="13">
        <v>4.5</v>
      </c>
      <c r="D88" s="13">
        <v>1.6</v>
      </c>
      <c r="E88" s="26" t="s">
        <v>6</v>
      </c>
    </row>
    <row r="89" spans="1:5" ht="16" x14ac:dyDescent="0.4">
      <c r="A89" s="25">
        <v>6</v>
      </c>
      <c r="B89" s="13">
        <v>2.2000000000000002</v>
      </c>
      <c r="C89" s="13">
        <v>5</v>
      </c>
      <c r="D89" s="13">
        <v>1.5</v>
      </c>
      <c r="E89" s="26" t="s">
        <v>7</v>
      </c>
    </row>
    <row r="90" spans="1:5" ht="16" x14ac:dyDescent="0.4">
      <c r="A90" s="25">
        <v>6</v>
      </c>
      <c r="B90" s="13">
        <v>3</v>
      </c>
      <c r="C90" s="13">
        <v>4.8</v>
      </c>
      <c r="D90" s="13">
        <v>1.8</v>
      </c>
      <c r="E90" s="26" t="s">
        <v>7</v>
      </c>
    </row>
    <row r="91" spans="1:5" ht="16" x14ac:dyDescent="0.4">
      <c r="A91" s="25">
        <v>6.1</v>
      </c>
      <c r="B91" s="13">
        <v>2.9</v>
      </c>
      <c r="C91" s="13">
        <v>4.7</v>
      </c>
      <c r="D91" s="13">
        <v>1.4</v>
      </c>
      <c r="E91" s="26" t="s">
        <v>6</v>
      </c>
    </row>
    <row r="92" spans="1:5" ht="16" x14ac:dyDescent="0.4">
      <c r="A92" s="25">
        <v>6.1</v>
      </c>
      <c r="B92" s="13">
        <v>2.8</v>
      </c>
      <c r="C92" s="13">
        <v>4</v>
      </c>
      <c r="D92" s="13">
        <v>1.3</v>
      </c>
      <c r="E92" s="26" t="s">
        <v>6</v>
      </c>
    </row>
    <row r="93" spans="1:5" ht="16" x14ac:dyDescent="0.4">
      <c r="A93" s="25">
        <v>6.1</v>
      </c>
      <c r="B93" s="13">
        <v>2.8</v>
      </c>
      <c r="C93" s="13">
        <v>4.7</v>
      </c>
      <c r="D93" s="13">
        <v>1.2</v>
      </c>
      <c r="E93" s="26" t="s">
        <v>6</v>
      </c>
    </row>
    <row r="94" spans="1:5" ht="16" x14ac:dyDescent="0.4">
      <c r="A94" s="25">
        <v>6.1</v>
      </c>
      <c r="B94" s="13">
        <v>3</v>
      </c>
      <c r="C94" s="13">
        <v>4.5999999999999996</v>
      </c>
      <c r="D94" s="13">
        <v>1.4</v>
      </c>
      <c r="E94" s="26" t="s">
        <v>6</v>
      </c>
    </row>
    <row r="95" spans="1:5" ht="16" x14ac:dyDescent="0.4">
      <c r="A95" s="25">
        <v>6.1</v>
      </c>
      <c r="B95" s="13">
        <v>3</v>
      </c>
      <c r="C95" s="13">
        <v>4.9000000000000004</v>
      </c>
      <c r="D95" s="13">
        <v>1.8</v>
      </c>
      <c r="E95" s="26" t="s">
        <v>7</v>
      </c>
    </row>
    <row r="96" spans="1:5" ht="16" x14ac:dyDescent="0.4">
      <c r="A96" s="25">
        <v>6.1</v>
      </c>
      <c r="B96" s="13">
        <v>2.6</v>
      </c>
      <c r="C96" s="13">
        <v>5.6</v>
      </c>
      <c r="D96" s="13">
        <v>1.4</v>
      </c>
      <c r="E96" s="26" t="s">
        <v>7</v>
      </c>
    </row>
    <row r="97" spans="1:5" ht="16" x14ac:dyDescent="0.4">
      <c r="A97" s="25">
        <v>6.2</v>
      </c>
      <c r="B97" s="13">
        <v>2.2000000000000002</v>
      </c>
      <c r="C97" s="13">
        <v>4.5</v>
      </c>
      <c r="D97" s="13">
        <v>1.5</v>
      </c>
      <c r="E97" s="26" t="s">
        <v>6</v>
      </c>
    </row>
    <row r="98" spans="1:5" ht="16" x14ac:dyDescent="0.4">
      <c r="A98" s="25">
        <v>6.2</v>
      </c>
      <c r="B98" s="13">
        <v>2.9</v>
      </c>
      <c r="C98" s="13">
        <v>4.3</v>
      </c>
      <c r="D98" s="13">
        <v>1.3</v>
      </c>
      <c r="E98" s="26" t="s">
        <v>6</v>
      </c>
    </row>
    <row r="99" spans="1:5" ht="16" x14ac:dyDescent="0.4">
      <c r="A99" s="25">
        <v>6.2</v>
      </c>
      <c r="B99" s="13">
        <v>2.8</v>
      </c>
      <c r="C99" s="13">
        <v>4.8</v>
      </c>
      <c r="D99" s="13">
        <v>1.8</v>
      </c>
      <c r="E99" s="26" t="s">
        <v>7</v>
      </c>
    </row>
    <row r="100" spans="1:5" ht="16" x14ac:dyDescent="0.4">
      <c r="A100" s="25">
        <v>6.2</v>
      </c>
      <c r="B100" s="13">
        <v>3.4</v>
      </c>
      <c r="C100" s="13">
        <v>5.4</v>
      </c>
      <c r="D100" s="13">
        <v>2.2999999999999998</v>
      </c>
      <c r="E100" s="26" t="s">
        <v>7</v>
      </c>
    </row>
    <row r="101" spans="1:5" ht="16" x14ac:dyDescent="0.4">
      <c r="A101" s="25">
        <v>6.3</v>
      </c>
      <c r="B101" s="13">
        <v>3.3</v>
      </c>
      <c r="C101" s="13">
        <v>4.7</v>
      </c>
      <c r="D101" s="13">
        <v>1.6</v>
      </c>
      <c r="E101" s="26" t="s">
        <v>6</v>
      </c>
    </row>
    <row r="102" spans="1:5" ht="16" x14ac:dyDescent="0.4">
      <c r="A102" s="25">
        <v>6.3</v>
      </c>
      <c r="B102" s="13">
        <v>2.5</v>
      </c>
      <c r="C102" s="13">
        <v>4.9000000000000004</v>
      </c>
      <c r="D102" s="13">
        <v>1.5</v>
      </c>
      <c r="E102" s="26" t="s">
        <v>6</v>
      </c>
    </row>
    <row r="103" spans="1:5" ht="16" x14ac:dyDescent="0.4">
      <c r="A103" s="25">
        <v>6.3</v>
      </c>
      <c r="B103" s="13">
        <v>2.2999999999999998</v>
      </c>
      <c r="C103" s="13">
        <v>4.4000000000000004</v>
      </c>
      <c r="D103" s="13">
        <v>1.3</v>
      </c>
      <c r="E103" s="26" t="s">
        <v>6</v>
      </c>
    </row>
    <row r="104" spans="1:5" ht="16" x14ac:dyDescent="0.4">
      <c r="A104" s="25">
        <v>6.3</v>
      </c>
      <c r="B104" s="13">
        <v>3.3</v>
      </c>
      <c r="C104" s="13">
        <v>6</v>
      </c>
      <c r="D104" s="13">
        <v>2.5</v>
      </c>
      <c r="E104" s="26" t="s">
        <v>7</v>
      </c>
    </row>
    <row r="105" spans="1:5" ht="16" x14ac:dyDescent="0.4">
      <c r="A105" s="25">
        <v>6.3</v>
      </c>
      <c r="B105" s="13">
        <v>2.9</v>
      </c>
      <c r="C105" s="13">
        <v>5.6</v>
      </c>
      <c r="D105" s="13">
        <v>1.8</v>
      </c>
      <c r="E105" s="26" t="s">
        <v>7</v>
      </c>
    </row>
    <row r="106" spans="1:5" ht="16" x14ac:dyDescent="0.4">
      <c r="A106" s="25">
        <v>6.3</v>
      </c>
      <c r="B106" s="13">
        <v>2.7</v>
      </c>
      <c r="C106" s="13">
        <v>4.9000000000000004</v>
      </c>
      <c r="D106" s="13">
        <v>1.8</v>
      </c>
      <c r="E106" s="26" t="s">
        <v>7</v>
      </c>
    </row>
    <row r="107" spans="1:5" ht="16" x14ac:dyDescent="0.4">
      <c r="A107" s="25">
        <v>6.3</v>
      </c>
      <c r="B107" s="13">
        <v>2.8</v>
      </c>
      <c r="C107" s="13">
        <v>5.0999999999999996</v>
      </c>
      <c r="D107" s="13">
        <v>1.5</v>
      </c>
      <c r="E107" s="26" t="s">
        <v>7</v>
      </c>
    </row>
    <row r="108" spans="1:5" ht="16" x14ac:dyDescent="0.4">
      <c r="A108" s="25">
        <v>6.3</v>
      </c>
      <c r="B108" s="13">
        <v>3.4</v>
      </c>
      <c r="C108" s="13">
        <v>5.6</v>
      </c>
      <c r="D108" s="13">
        <v>2.4</v>
      </c>
      <c r="E108" s="26" t="s">
        <v>7</v>
      </c>
    </row>
    <row r="109" spans="1:5" ht="16" x14ac:dyDescent="0.4">
      <c r="A109" s="25">
        <v>6.3</v>
      </c>
      <c r="B109" s="13">
        <v>2.5</v>
      </c>
      <c r="C109" s="13">
        <v>5</v>
      </c>
      <c r="D109" s="13">
        <v>1.9</v>
      </c>
      <c r="E109" s="26" t="s">
        <v>7</v>
      </c>
    </row>
    <row r="110" spans="1:5" ht="16" x14ac:dyDescent="0.4">
      <c r="A110" s="25">
        <v>6.4</v>
      </c>
      <c r="B110" s="13">
        <v>3.2</v>
      </c>
      <c r="C110" s="13">
        <v>4.5</v>
      </c>
      <c r="D110" s="13">
        <v>1.5</v>
      </c>
      <c r="E110" s="26" t="s">
        <v>6</v>
      </c>
    </row>
    <row r="111" spans="1:5" ht="16" x14ac:dyDescent="0.4">
      <c r="A111" s="25">
        <v>6.4</v>
      </c>
      <c r="B111" s="13">
        <v>2.9</v>
      </c>
      <c r="C111" s="13">
        <v>4.3</v>
      </c>
      <c r="D111" s="13">
        <v>1.3</v>
      </c>
      <c r="E111" s="26" t="s">
        <v>6</v>
      </c>
    </row>
    <row r="112" spans="1:5" ht="16" x14ac:dyDescent="0.4">
      <c r="A112" s="25">
        <v>6.4</v>
      </c>
      <c r="B112" s="13">
        <v>2.7</v>
      </c>
      <c r="C112" s="13">
        <v>5.3</v>
      </c>
      <c r="D112" s="13">
        <v>1.9</v>
      </c>
      <c r="E112" s="26" t="s">
        <v>7</v>
      </c>
    </row>
    <row r="113" spans="1:5" ht="16" x14ac:dyDescent="0.4">
      <c r="A113" s="25">
        <v>6.4</v>
      </c>
      <c r="B113" s="13">
        <v>3.2</v>
      </c>
      <c r="C113" s="13">
        <v>5.3</v>
      </c>
      <c r="D113" s="13">
        <v>2.2999999999999998</v>
      </c>
      <c r="E113" s="26" t="s">
        <v>7</v>
      </c>
    </row>
    <row r="114" spans="1:5" ht="16" x14ac:dyDescent="0.4">
      <c r="A114" s="25">
        <v>6.4</v>
      </c>
      <c r="B114" s="13">
        <v>2.8</v>
      </c>
      <c r="C114" s="13">
        <v>5.6</v>
      </c>
      <c r="D114" s="13">
        <v>2.1</v>
      </c>
      <c r="E114" s="26" t="s">
        <v>7</v>
      </c>
    </row>
    <row r="115" spans="1:5" ht="16" x14ac:dyDescent="0.4">
      <c r="A115" s="25">
        <v>6.4</v>
      </c>
      <c r="B115" s="13">
        <v>2.8</v>
      </c>
      <c r="C115" s="13">
        <v>5.6</v>
      </c>
      <c r="D115" s="13">
        <v>2.2000000000000002</v>
      </c>
      <c r="E115" s="26" t="s">
        <v>7</v>
      </c>
    </row>
    <row r="116" spans="1:5" ht="16" x14ac:dyDescent="0.4">
      <c r="A116" s="25">
        <v>6.4</v>
      </c>
      <c r="B116" s="13">
        <v>3.1</v>
      </c>
      <c r="C116" s="13">
        <v>5.5</v>
      </c>
      <c r="D116" s="13">
        <v>1.8</v>
      </c>
      <c r="E116" s="26" t="s">
        <v>7</v>
      </c>
    </row>
    <row r="117" spans="1:5" ht="16" x14ac:dyDescent="0.4">
      <c r="A117" s="25">
        <v>6.5</v>
      </c>
      <c r="B117" s="13">
        <v>2.8</v>
      </c>
      <c r="C117" s="13">
        <v>4.5999999999999996</v>
      </c>
      <c r="D117" s="13">
        <v>1.5</v>
      </c>
      <c r="E117" s="26" t="s">
        <v>6</v>
      </c>
    </row>
    <row r="118" spans="1:5" ht="16" x14ac:dyDescent="0.4">
      <c r="A118" s="25">
        <v>6.5</v>
      </c>
      <c r="B118" s="13">
        <v>3</v>
      </c>
      <c r="C118" s="13">
        <v>5.8</v>
      </c>
      <c r="D118" s="13">
        <v>2.2000000000000002</v>
      </c>
      <c r="E118" s="26" t="s">
        <v>7</v>
      </c>
    </row>
    <row r="119" spans="1:5" ht="16" x14ac:dyDescent="0.4">
      <c r="A119" s="25">
        <v>6.5</v>
      </c>
      <c r="B119" s="13">
        <v>3.2</v>
      </c>
      <c r="C119" s="13">
        <v>5.0999999999999996</v>
      </c>
      <c r="D119" s="13">
        <v>2</v>
      </c>
      <c r="E119" s="26" t="s">
        <v>7</v>
      </c>
    </row>
    <row r="120" spans="1:5" ht="16" x14ac:dyDescent="0.4">
      <c r="A120" s="25">
        <v>6.5</v>
      </c>
      <c r="B120" s="13">
        <v>3</v>
      </c>
      <c r="C120" s="13">
        <v>5.5</v>
      </c>
      <c r="D120" s="13">
        <v>1.8</v>
      </c>
      <c r="E120" s="26" t="s">
        <v>7</v>
      </c>
    </row>
    <row r="121" spans="1:5" ht="16" x14ac:dyDescent="0.4">
      <c r="A121" s="25">
        <v>6.5</v>
      </c>
      <c r="B121" s="13">
        <v>3</v>
      </c>
      <c r="C121" s="13">
        <v>5.2</v>
      </c>
      <c r="D121" s="13">
        <v>2</v>
      </c>
      <c r="E121" s="26" t="s">
        <v>7</v>
      </c>
    </row>
    <row r="122" spans="1:5" ht="16" x14ac:dyDescent="0.4">
      <c r="A122" s="25">
        <v>6.6</v>
      </c>
      <c r="B122" s="13">
        <v>2.9</v>
      </c>
      <c r="C122" s="13">
        <v>4.5999999999999996</v>
      </c>
      <c r="D122" s="13">
        <v>1.3</v>
      </c>
      <c r="E122" s="26" t="s">
        <v>6</v>
      </c>
    </row>
    <row r="123" spans="1:5" ht="16" x14ac:dyDescent="0.4">
      <c r="A123" s="25">
        <v>6.6</v>
      </c>
      <c r="B123" s="13">
        <v>3</v>
      </c>
      <c r="C123" s="13">
        <v>4.4000000000000004</v>
      </c>
      <c r="D123" s="13">
        <v>1.4</v>
      </c>
      <c r="E123" s="26" t="s">
        <v>6</v>
      </c>
    </row>
    <row r="124" spans="1:5" ht="16" x14ac:dyDescent="0.4">
      <c r="A124" s="25">
        <v>6.7</v>
      </c>
      <c r="B124" s="13">
        <v>3.1</v>
      </c>
      <c r="C124" s="13">
        <v>4.4000000000000004</v>
      </c>
      <c r="D124" s="13">
        <v>1.4</v>
      </c>
      <c r="E124" s="26" t="s">
        <v>6</v>
      </c>
    </row>
    <row r="125" spans="1:5" ht="16" x14ac:dyDescent="0.4">
      <c r="A125" s="25">
        <v>6.7</v>
      </c>
      <c r="B125" s="13">
        <v>3</v>
      </c>
      <c r="C125" s="13">
        <v>5</v>
      </c>
      <c r="D125" s="13">
        <v>1.7</v>
      </c>
      <c r="E125" s="26" t="s">
        <v>6</v>
      </c>
    </row>
    <row r="126" spans="1:5" ht="16" x14ac:dyDescent="0.4">
      <c r="A126" s="25">
        <v>6.7</v>
      </c>
      <c r="B126" s="13">
        <v>3.1</v>
      </c>
      <c r="C126" s="13">
        <v>4.7</v>
      </c>
      <c r="D126" s="13">
        <v>1.5</v>
      </c>
      <c r="E126" s="26" t="s">
        <v>6</v>
      </c>
    </row>
    <row r="127" spans="1:5" ht="16" x14ac:dyDescent="0.4">
      <c r="A127" s="25">
        <v>6.7</v>
      </c>
      <c r="B127" s="13">
        <v>2.5</v>
      </c>
      <c r="C127" s="13">
        <v>5.8</v>
      </c>
      <c r="D127" s="13">
        <v>1.8</v>
      </c>
      <c r="E127" s="26" t="s">
        <v>7</v>
      </c>
    </row>
    <row r="128" spans="1:5" ht="16" x14ac:dyDescent="0.4">
      <c r="A128" s="25">
        <v>6.7</v>
      </c>
      <c r="B128" s="13">
        <v>3.3</v>
      </c>
      <c r="C128" s="13">
        <v>5.7</v>
      </c>
      <c r="D128" s="13">
        <v>2.1</v>
      </c>
      <c r="E128" s="26" t="s">
        <v>7</v>
      </c>
    </row>
    <row r="129" spans="1:5" ht="16" x14ac:dyDescent="0.4">
      <c r="A129" s="25">
        <v>6.7</v>
      </c>
      <c r="B129" s="13">
        <v>3.1</v>
      </c>
      <c r="C129" s="13">
        <v>5.6</v>
      </c>
      <c r="D129" s="13">
        <v>2.4</v>
      </c>
      <c r="E129" s="26" t="s">
        <v>7</v>
      </c>
    </row>
    <row r="130" spans="1:5" ht="16" x14ac:dyDescent="0.4">
      <c r="A130" s="25">
        <v>6.7</v>
      </c>
      <c r="B130" s="13">
        <v>3.3</v>
      </c>
      <c r="C130" s="13">
        <v>5.7</v>
      </c>
      <c r="D130" s="13">
        <v>2.5</v>
      </c>
      <c r="E130" s="26" t="s">
        <v>7</v>
      </c>
    </row>
    <row r="131" spans="1:5" ht="16" x14ac:dyDescent="0.4">
      <c r="A131" s="25">
        <v>6.7</v>
      </c>
      <c r="B131" s="13">
        <v>3</v>
      </c>
      <c r="C131" s="13">
        <v>5.2</v>
      </c>
      <c r="D131" s="13">
        <v>2.2999999999999998</v>
      </c>
      <c r="E131" s="26" t="s">
        <v>7</v>
      </c>
    </row>
    <row r="132" spans="1:5" ht="16" x14ac:dyDescent="0.4">
      <c r="A132" s="25">
        <v>6.8</v>
      </c>
      <c r="B132" s="13">
        <v>2.8</v>
      </c>
      <c r="C132" s="13">
        <v>4.8</v>
      </c>
      <c r="D132" s="13">
        <v>1.4</v>
      </c>
      <c r="E132" s="26" t="s">
        <v>6</v>
      </c>
    </row>
    <row r="133" spans="1:5" ht="16" x14ac:dyDescent="0.4">
      <c r="A133" s="25">
        <v>6.8</v>
      </c>
      <c r="B133" s="13">
        <v>3</v>
      </c>
      <c r="C133" s="13">
        <v>5.5</v>
      </c>
      <c r="D133" s="13">
        <v>2.1</v>
      </c>
      <c r="E133" s="26" t="s">
        <v>7</v>
      </c>
    </row>
    <row r="134" spans="1:5" ht="16" x14ac:dyDescent="0.4">
      <c r="A134" s="25">
        <v>6.8</v>
      </c>
      <c r="B134" s="13">
        <v>3.2</v>
      </c>
      <c r="C134" s="13">
        <v>5.9</v>
      </c>
      <c r="D134" s="13">
        <v>2.2999999999999998</v>
      </c>
      <c r="E134" s="26" t="s">
        <v>7</v>
      </c>
    </row>
    <row r="135" spans="1:5" ht="16" x14ac:dyDescent="0.4">
      <c r="A135" s="25">
        <v>6.9</v>
      </c>
      <c r="B135" s="13">
        <v>3.1</v>
      </c>
      <c r="C135" s="13">
        <v>4.9000000000000004</v>
      </c>
      <c r="D135" s="13">
        <v>1.5</v>
      </c>
      <c r="E135" s="26" t="s">
        <v>6</v>
      </c>
    </row>
    <row r="136" spans="1:5" ht="16" x14ac:dyDescent="0.4">
      <c r="A136" s="25">
        <v>6.9</v>
      </c>
      <c r="B136" s="13">
        <v>3.2</v>
      </c>
      <c r="C136" s="13">
        <v>5.7</v>
      </c>
      <c r="D136" s="13">
        <v>2.2999999999999998</v>
      </c>
      <c r="E136" s="26" t="s">
        <v>7</v>
      </c>
    </row>
    <row r="137" spans="1:5" ht="16" x14ac:dyDescent="0.4">
      <c r="A137" s="25">
        <v>6.9</v>
      </c>
      <c r="B137" s="13">
        <v>3.1</v>
      </c>
      <c r="C137" s="13">
        <v>5.4</v>
      </c>
      <c r="D137" s="13">
        <v>2.1</v>
      </c>
      <c r="E137" s="26" t="s">
        <v>7</v>
      </c>
    </row>
    <row r="138" spans="1:5" ht="16" x14ac:dyDescent="0.4">
      <c r="A138" s="25">
        <v>6.9</v>
      </c>
      <c r="B138" s="13">
        <v>3.1</v>
      </c>
      <c r="C138" s="13">
        <v>5.0999999999999996</v>
      </c>
      <c r="D138" s="13">
        <v>2.2999999999999998</v>
      </c>
      <c r="E138" s="26" t="s">
        <v>7</v>
      </c>
    </row>
    <row r="139" spans="1:5" ht="16" x14ac:dyDescent="0.4">
      <c r="A139" s="25">
        <v>7</v>
      </c>
      <c r="B139" s="13">
        <v>3.2</v>
      </c>
      <c r="C139" s="13">
        <v>4.7</v>
      </c>
      <c r="D139" s="13">
        <v>1.4</v>
      </c>
      <c r="E139" s="26" t="s">
        <v>6</v>
      </c>
    </row>
    <row r="140" spans="1:5" ht="16" x14ac:dyDescent="0.4">
      <c r="A140" s="25">
        <v>7.1</v>
      </c>
      <c r="B140" s="13">
        <v>3</v>
      </c>
      <c r="C140" s="13">
        <v>5.9</v>
      </c>
      <c r="D140" s="13">
        <v>2.1</v>
      </c>
      <c r="E140" s="26" t="s">
        <v>7</v>
      </c>
    </row>
    <row r="141" spans="1:5" ht="16" x14ac:dyDescent="0.4">
      <c r="A141" s="25">
        <v>7.2</v>
      </c>
      <c r="B141" s="13">
        <v>3.6</v>
      </c>
      <c r="C141" s="13">
        <v>6.1</v>
      </c>
      <c r="D141" s="13">
        <v>2.5</v>
      </c>
      <c r="E141" s="26" t="s">
        <v>7</v>
      </c>
    </row>
    <row r="142" spans="1:5" ht="16" x14ac:dyDescent="0.4">
      <c r="A142" s="25">
        <v>7.2</v>
      </c>
      <c r="B142" s="13">
        <v>3.2</v>
      </c>
      <c r="C142" s="13">
        <v>6</v>
      </c>
      <c r="D142" s="13">
        <v>1.8</v>
      </c>
      <c r="E142" s="26" t="s">
        <v>7</v>
      </c>
    </row>
    <row r="143" spans="1:5" ht="16" x14ac:dyDescent="0.4">
      <c r="A143" s="25">
        <v>7.2</v>
      </c>
      <c r="B143" s="13">
        <v>3</v>
      </c>
      <c r="C143" s="13">
        <v>5.8</v>
      </c>
      <c r="D143" s="13">
        <v>1.6</v>
      </c>
      <c r="E143" s="26" t="s">
        <v>7</v>
      </c>
    </row>
    <row r="144" spans="1:5" ht="16" x14ac:dyDescent="0.4">
      <c r="A144" s="25">
        <v>7.3</v>
      </c>
      <c r="B144" s="13">
        <v>2.9</v>
      </c>
      <c r="C144" s="13">
        <v>6.3</v>
      </c>
      <c r="D144" s="13">
        <v>1.8</v>
      </c>
      <c r="E144" s="26" t="s">
        <v>7</v>
      </c>
    </row>
    <row r="145" spans="1:5" ht="16" x14ac:dyDescent="0.4">
      <c r="A145" s="25">
        <v>7.4</v>
      </c>
      <c r="B145" s="13">
        <v>2.8</v>
      </c>
      <c r="C145" s="13">
        <v>6.1</v>
      </c>
      <c r="D145" s="13">
        <v>1.9</v>
      </c>
      <c r="E145" s="26" t="s">
        <v>7</v>
      </c>
    </row>
    <row r="146" spans="1:5" ht="16" x14ac:dyDescent="0.4">
      <c r="A146" s="25">
        <v>7.6</v>
      </c>
      <c r="B146" s="13">
        <v>3</v>
      </c>
      <c r="C146" s="13">
        <v>6.6</v>
      </c>
      <c r="D146" s="13">
        <v>2.1</v>
      </c>
      <c r="E146" s="26" t="s">
        <v>7</v>
      </c>
    </row>
    <row r="147" spans="1:5" ht="16" x14ac:dyDescent="0.4">
      <c r="A147" s="25">
        <v>7.7</v>
      </c>
      <c r="B147" s="13">
        <v>3.8</v>
      </c>
      <c r="C147" s="13">
        <v>6.7</v>
      </c>
      <c r="D147" s="13">
        <v>2.2000000000000002</v>
      </c>
      <c r="E147" s="26" t="s">
        <v>7</v>
      </c>
    </row>
    <row r="148" spans="1:5" ht="16" x14ac:dyDescent="0.4">
      <c r="A148" s="25">
        <v>7.7</v>
      </c>
      <c r="B148" s="13">
        <v>2.6</v>
      </c>
      <c r="C148" s="13">
        <v>6.9</v>
      </c>
      <c r="D148" s="13">
        <v>2.2999999999999998</v>
      </c>
      <c r="E148" s="26" t="s">
        <v>7</v>
      </c>
    </row>
    <row r="149" spans="1:5" ht="16" x14ac:dyDescent="0.4">
      <c r="A149" s="25">
        <v>7.7</v>
      </c>
      <c r="B149" s="13">
        <v>2.8</v>
      </c>
      <c r="C149" s="13">
        <v>6.7</v>
      </c>
      <c r="D149" s="13">
        <v>2</v>
      </c>
      <c r="E149" s="26" t="s">
        <v>7</v>
      </c>
    </row>
    <row r="150" spans="1:5" ht="16" x14ac:dyDescent="0.4">
      <c r="A150" s="25">
        <v>7.7</v>
      </c>
      <c r="B150" s="13">
        <v>3</v>
      </c>
      <c r="C150" s="13">
        <v>6.1</v>
      </c>
      <c r="D150" s="13">
        <v>2.2999999999999998</v>
      </c>
      <c r="E150" s="26" t="s">
        <v>7</v>
      </c>
    </row>
    <row r="151" spans="1:5" ht="16" x14ac:dyDescent="0.4">
      <c r="A151" s="27">
        <v>7.9</v>
      </c>
      <c r="B151" s="28">
        <v>3.8</v>
      </c>
      <c r="C151" s="28">
        <v>6.4</v>
      </c>
      <c r="D151" s="28">
        <v>2</v>
      </c>
      <c r="E151" s="29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858F-BB05-44C1-8705-2BC103814FC7}">
  <dimension ref="A1:S402"/>
  <sheetViews>
    <sheetView zoomScale="90" zoomScaleNormal="90" workbookViewId="0">
      <selection sqref="A1:F151"/>
    </sheetView>
  </sheetViews>
  <sheetFormatPr baseColWidth="10" defaultRowHeight="14.5" x14ac:dyDescent="0.35"/>
  <cols>
    <col min="1" max="1" width="7.6328125" style="1" customWidth="1"/>
    <col min="6" max="6" width="12.6328125" customWidth="1"/>
    <col min="7" max="7" width="3.54296875" customWidth="1"/>
    <col min="8" max="8" width="3.6328125" customWidth="1"/>
    <col min="9" max="9" width="3.90625" customWidth="1"/>
    <col min="10" max="10" width="10.1796875" customWidth="1"/>
    <col min="11" max="11" width="13" customWidth="1"/>
    <col min="12" max="12" width="17.6328125" customWidth="1"/>
    <col min="15" max="15" width="13.90625" customWidth="1"/>
    <col min="16" max="16" width="18.08984375" customWidth="1"/>
    <col min="17" max="17" width="17.1796875" style="1" customWidth="1"/>
    <col min="18" max="18" width="16.90625" customWidth="1"/>
    <col min="20" max="20" width="7.6328125" customWidth="1"/>
    <col min="21" max="21" width="6.81640625" customWidth="1"/>
    <col min="22" max="22" width="23.453125" customWidth="1"/>
    <col min="28" max="28" width="12.1796875" customWidth="1"/>
    <col min="29" max="29" width="18.1796875" customWidth="1"/>
  </cols>
  <sheetData>
    <row r="1" spans="1:6" ht="15.5" x14ac:dyDescent="0.35">
      <c r="A1" s="21"/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</row>
    <row r="2" spans="1:6" ht="16" x14ac:dyDescent="0.4">
      <c r="A2" s="13">
        <v>1</v>
      </c>
      <c r="B2" s="13" t="s">
        <v>8</v>
      </c>
      <c r="C2" s="13" t="s">
        <v>8</v>
      </c>
      <c r="D2" s="13" t="s">
        <v>8</v>
      </c>
      <c r="E2" s="13" t="s">
        <v>8</v>
      </c>
      <c r="F2" s="13" t="s">
        <v>5</v>
      </c>
    </row>
    <row r="3" spans="1:6" ht="16" x14ac:dyDescent="0.4">
      <c r="A3" s="13">
        <f>1+A2</f>
        <v>2</v>
      </c>
      <c r="B3" s="13" t="s">
        <v>8</v>
      </c>
      <c r="C3" s="13" t="s">
        <v>8</v>
      </c>
      <c r="D3" s="13" t="s">
        <v>8</v>
      </c>
      <c r="E3" s="13" t="s">
        <v>8</v>
      </c>
      <c r="F3" s="13" t="s">
        <v>5</v>
      </c>
    </row>
    <row r="4" spans="1:6" ht="16" x14ac:dyDescent="0.4">
      <c r="A4" s="13">
        <f t="shared" ref="A4:A67" si="0">1+A3</f>
        <v>3</v>
      </c>
      <c r="B4" s="13" t="s">
        <v>8</v>
      </c>
      <c r="C4" s="13" t="s">
        <v>10</v>
      </c>
      <c r="D4" s="13" t="s">
        <v>8</v>
      </c>
      <c r="E4" s="13" t="s">
        <v>8</v>
      </c>
      <c r="F4" s="13" t="s">
        <v>5</v>
      </c>
    </row>
    <row r="5" spans="1:6" ht="16" x14ac:dyDescent="0.4">
      <c r="A5" s="13">
        <f t="shared" si="0"/>
        <v>4</v>
      </c>
      <c r="B5" s="13" t="s">
        <v>8</v>
      </c>
      <c r="C5" s="13" t="s">
        <v>10</v>
      </c>
      <c r="D5" s="13" t="s">
        <v>8</v>
      </c>
      <c r="E5" s="13" t="s">
        <v>8</v>
      </c>
      <c r="F5" s="13" t="s">
        <v>5</v>
      </c>
    </row>
    <row r="6" spans="1:6" ht="16" x14ac:dyDescent="0.4">
      <c r="A6" s="13">
        <f t="shared" si="0"/>
        <v>5</v>
      </c>
      <c r="B6" s="13" t="s">
        <v>8</v>
      </c>
      <c r="C6" s="13" t="s">
        <v>10</v>
      </c>
      <c r="D6" s="13" t="s">
        <v>8</v>
      </c>
      <c r="E6" s="13" t="s">
        <v>8</v>
      </c>
      <c r="F6" s="13" t="s">
        <v>5</v>
      </c>
    </row>
    <row r="7" spans="1:6" ht="16" x14ac:dyDescent="0.4">
      <c r="A7" s="13">
        <f t="shared" si="0"/>
        <v>6</v>
      </c>
      <c r="B7" s="13" t="s">
        <v>8</v>
      </c>
      <c r="C7" s="13" t="s">
        <v>10</v>
      </c>
      <c r="D7" s="13" t="s">
        <v>8</v>
      </c>
      <c r="E7" s="13" t="s">
        <v>8</v>
      </c>
      <c r="F7" s="13" t="s">
        <v>5</v>
      </c>
    </row>
    <row r="8" spans="1:6" ht="16" x14ac:dyDescent="0.4">
      <c r="A8" s="13">
        <f t="shared" si="0"/>
        <v>7</v>
      </c>
      <c r="B8" s="13" t="s">
        <v>8</v>
      </c>
      <c r="C8" s="13" t="s">
        <v>10</v>
      </c>
      <c r="D8" s="13" t="s">
        <v>8</v>
      </c>
      <c r="E8" s="13" t="s">
        <v>8</v>
      </c>
      <c r="F8" s="13" t="s">
        <v>5</v>
      </c>
    </row>
    <row r="9" spans="1:6" ht="16" x14ac:dyDescent="0.4">
      <c r="A9" s="13">
        <f t="shared" si="0"/>
        <v>8</v>
      </c>
      <c r="B9" s="13" t="s">
        <v>8</v>
      </c>
      <c r="C9" s="13" t="s">
        <v>10</v>
      </c>
      <c r="D9" s="13" t="s">
        <v>8</v>
      </c>
      <c r="E9" s="13" t="s">
        <v>8</v>
      </c>
      <c r="F9" s="13" t="s">
        <v>5</v>
      </c>
    </row>
    <row r="10" spans="1:6" ht="16" x14ac:dyDescent="0.4">
      <c r="A10" s="13">
        <f t="shared" si="0"/>
        <v>9</v>
      </c>
      <c r="B10" s="13" t="s">
        <v>8</v>
      </c>
      <c r="C10" s="13" t="s">
        <v>10</v>
      </c>
      <c r="D10" s="13" t="s">
        <v>8</v>
      </c>
      <c r="E10" s="13" t="s">
        <v>8</v>
      </c>
      <c r="F10" s="13" t="s">
        <v>5</v>
      </c>
    </row>
    <row r="11" spans="1:6" ht="16" x14ac:dyDescent="0.4">
      <c r="A11" s="13">
        <f t="shared" si="0"/>
        <v>10</v>
      </c>
      <c r="B11" s="13" t="s">
        <v>8</v>
      </c>
      <c r="C11" s="13" t="s">
        <v>10</v>
      </c>
      <c r="D11" s="13" t="s">
        <v>8</v>
      </c>
      <c r="E11" s="13" t="s">
        <v>8</v>
      </c>
      <c r="F11" s="13" t="s">
        <v>5</v>
      </c>
    </row>
    <row r="12" spans="1:6" ht="16" x14ac:dyDescent="0.4">
      <c r="A12" s="13">
        <f t="shared" si="0"/>
        <v>11</v>
      </c>
      <c r="B12" s="13" t="s">
        <v>8</v>
      </c>
      <c r="C12" s="13" t="s">
        <v>10</v>
      </c>
      <c r="D12" s="13" t="s">
        <v>8</v>
      </c>
      <c r="E12" s="13" t="s">
        <v>8</v>
      </c>
      <c r="F12" s="13" t="s">
        <v>5</v>
      </c>
    </row>
    <row r="13" spans="1:6" ht="16" x14ac:dyDescent="0.4">
      <c r="A13" s="13">
        <f t="shared" si="0"/>
        <v>12</v>
      </c>
      <c r="B13" s="13" t="s">
        <v>8</v>
      </c>
      <c r="C13" s="13" t="s">
        <v>10</v>
      </c>
      <c r="D13" s="13" t="s">
        <v>8</v>
      </c>
      <c r="E13" s="13" t="s">
        <v>8</v>
      </c>
      <c r="F13" s="13" t="s">
        <v>5</v>
      </c>
    </row>
    <row r="14" spans="1:6" ht="16" x14ac:dyDescent="0.4">
      <c r="A14" s="13">
        <f t="shared" si="0"/>
        <v>13</v>
      </c>
      <c r="B14" s="13" t="s">
        <v>8</v>
      </c>
      <c r="C14" s="13" t="s">
        <v>10</v>
      </c>
      <c r="D14" s="13" t="s">
        <v>8</v>
      </c>
      <c r="E14" s="13" t="s">
        <v>8</v>
      </c>
      <c r="F14" s="13" t="s">
        <v>5</v>
      </c>
    </row>
    <row r="15" spans="1:6" ht="16" x14ac:dyDescent="0.4">
      <c r="A15" s="13">
        <f t="shared" si="0"/>
        <v>14</v>
      </c>
      <c r="B15" s="13" t="s">
        <v>8</v>
      </c>
      <c r="C15" s="13" t="s">
        <v>10</v>
      </c>
      <c r="D15" s="13" t="s">
        <v>8</v>
      </c>
      <c r="E15" s="13" t="s">
        <v>8</v>
      </c>
      <c r="F15" s="13" t="s">
        <v>5</v>
      </c>
    </row>
    <row r="16" spans="1:6" ht="16" x14ac:dyDescent="0.4">
      <c r="A16" s="13">
        <f t="shared" si="0"/>
        <v>15</v>
      </c>
      <c r="B16" s="13" t="s">
        <v>8</v>
      </c>
      <c r="C16" s="13" t="s">
        <v>10</v>
      </c>
      <c r="D16" s="13" t="s">
        <v>8</v>
      </c>
      <c r="E16" s="13" t="s">
        <v>8</v>
      </c>
      <c r="F16" s="13" t="s">
        <v>5</v>
      </c>
    </row>
    <row r="17" spans="1:6" ht="16" x14ac:dyDescent="0.4">
      <c r="A17" s="13">
        <f t="shared" si="0"/>
        <v>16</v>
      </c>
      <c r="B17" s="13" t="s">
        <v>8</v>
      </c>
      <c r="C17" s="13" t="s">
        <v>10</v>
      </c>
      <c r="D17" s="13" t="s">
        <v>8</v>
      </c>
      <c r="E17" s="13" t="s">
        <v>8</v>
      </c>
      <c r="F17" s="13" t="s">
        <v>5</v>
      </c>
    </row>
    <row r="18" spans="1:6" ht="16" x14ac:dyDescent="0.4">
      <c r="A18" s="13">
        <f t="shared" si="0"/>
        <v>17</v>
      </c>
      <c r="B18" s="13" t="s">
        <v>8</v>
      </c>
      <c r="C18" s="13" t="s">
        <v>10</v>
      </c>
      <c r="D18" s="13" t="s">
        <v>8</v>
      </c>
      <c r="E18" s="13" t="s">
        <v>8</v>
      </c>
      <c r="F18" s="13" t="s">
        <v>5</v>
      </c>
    </row>
    <row r="19" spans="1:6" ht="16" x14ac:dyDescent="0.4">
      <c r="A19" s="13">
        <f t="shared" si="0"/>
        <v>18</v>
      </c>
      <c r="B19" s="13" t="s">
        <v>8</v>
      </c>
      <c r="C19" s="13" t="s">
        <v>10</v>
      </c>
      <c r="D19" s="13" t="s">
        <v>8</v>
      </c>
      <c r="E19" s="13" t="s">
        <v>8</v>
      </c>
      <c r="F19" s="13" t="s">
        <v>5</v>
      </c>
    </row>
    <row r="20" spans="1:6" ht="16" x14ac:dyDescent="0.4">
      <c r="A20" s="13">
        <f t="shared" si="0"/>
        <v>19</v>
      </c>
      <c r="B20" s="13" t="s">
        <v>8</v>
      </c>
      <c r="C20" s="13" t="s">
        <v>10</v>
      </c>
      <c r="D20" s="13" t="s">
        <v>8</v>
      </c>
      <c r="E20" s="13" t="s">
        <v>8</v>
      </c>
      <c r="F20" s="13" t="s">
        <v>5</v>
      </c>
    </row>
    <row r="21" spans="1:6" ht="16" x14ac:dyDescent="0.4">
      <c r="A21" s="13">
        <f t="shared" si="0"/>
        <v>20</v>
      </c>
      <c r="B21" s="13" t="s">
        <v>8</v>
      </c>
      <c r="C21" s="13" t="s">
        <v>10</v>
      </c>
      <c r="D21" s="13" t="s">
        <v>8</v>
      </c>
      <c r="E21" s="13" t="s">
        <v>8</v>
      </c>
      <c r="F21" s="13" t="s">
        <v>5</v>
      </c>
    </row>
    <row r="22" spans="1:6" ht="16" x14ac:dyDescent="0.4">
      <c r="A22" s="13">
        <f t="shared" si="0"/>
        <v>21</v>
      </c>
      <c r="B22" s="13" t="s">
        <v>8</v>
      </c>
      <c r="C22" s="13" t="s">
        <v>10</v>
      </c>
      <c r="D22" s="13" t="s">
        <v>8</v>
      </c>
      <c r="E22" s="13" t="s">
        <v>8</v>
      </c>
      <c r="F22" s="13" t="s">
        <v>5</v>
      </c>
    </row>
    <row r="23" spans="1:6" ht="16" x14ac:dyDescent="0.4">
      <c r="A23" s="13">
        <f t="shared" si="0"/>
        <v>22</v>
      </c>
      <c r="B23" s="13" t="s">
        <v>8</v>
      </c>
      <c r="C23" s="13" t="s">
        <v>10</v>
      </c>
      <c r="D23" s="13" t="s">
        <v>8</v>
      </c>
      <c r="E23" s="13" t="s">
        <v>8</v>
      </c>
      <c r="F23" s="13" t="s">
        <v>5</v>
      </c>
    </row>
    <row r="24" spans="1:6" ht="16" x14ac:dyDescent="0.4">
      <c r="A24" s="13">
        <f t="shared" si="0"/>
        <v>23</v>
      </c>
      <c r="B24" s="13" t="s">
        <v>8</v>
      </c>
      <c r="C24" s="13" t="s">
        <v>10</v>
      </c>
      <c r="D24" s="13" t="s">
        <v>8</v>
      </c>
      <c r="E24" s="13" t="s">
        <v>8</v>
      </c>
      <c r="F24" s="13" t="s">
        <v>5</v>
      </c>
    </row>
    <row r="25" spans="1:6" ht="16" x14ac:dyDescent="0.4">
      <c r="A25" s="13">
        <f t="shared" si="0"/>
        <v>24</v>
      </c>
      <c r="B25" s="13" t="s">
        <v>8</v>
      </c>
      <c r="C25" s="13" t="s">
        <v>10</v>
      </c>
      <c r="D25" s="13" t="s">
        <v>8</v>
      </c>
      <c r="E25" s="13" t="s">
        <v>8</v>
      </c>
      <c r="F25" s="13" t="s">
        <v>5</v>
      </c>
    </row>
    <row r="26" spans="1:6" ht="16" x14ac:dyDescent="0.4">
      <c r="A26" s="13">
        <f t="shared" si="0"/>
        <v>25</v>
      </c>
      <c r="B26" s="13" t="s">
        <v>8</v>
      </c>
      <c r="C26" s="13" t="s">
        <v>10</v>
      </c>
      <c r="D26" s="13" t="s">
        <v>8</v>
      </c>
      <c r="E26" s="13" t="s">
        <v>8</v>
      </c>
      <c r="F26" s="13" t="s">
        <v>5</v>
      </c>
    </row>
    <row r="27" spans="1:6" ht="16" x14ac:dyDescent="0.4">
      <c r="A27" s="13">
        <f t="shared" si="0"/>
        <v>26</v>
      </c>
      <c r="B27" s="13" t="s">
        <v>8</v>
      </c>
      <c r="C27" s="13" t="s">
        <v>10</v>
      </c>
      <c r="D27" s="13" t="s">
        <v>8</v>
      </c>
      <c r="E27" s="13" t="s">
        <v>8</v>
      </c>
      <c r="F27" s="13" t="s">
        <v>5</v>
      </c>
    </row>
    <row r="28" spans="1:6" ht="16" x14ac:dyDescent="0.4">
      <c r="A28" s="13">
        <f t="shared" si="0"/>
        <v>27</v>
      </c>
      <c r="B28" s="13" t="s">
        <v>8</v>
      </c>
      <c r="C28" s="13" t="s">
        <v>10</v>
      </c>
      <c r="D28" s="13" t="s">
        <v>8</v>
      </c>
      <c r="E28" s="13" t="s">
        <v>8</v>
      </c>
      <c r="F28" s="13" t="s">
        <v>5</v>
      </c>
    </row>
    <row r="29" spans="1:6" ht="16" x14ac:dyDescent="0.4">
      <c r="A29" s="13">
        <f t="shared" si="0"/>
        <v>28</v>
      </c>
      <c r="B29" s="13" t="s">
        <v>8</v>
      </c>
      <c r="C29" s="13" t="s">
        <v>10</v>
      </c>
      <c r="D29" s="13" t="s">
        <v>8</v>
      </c>
      <c r="E29" s="13" t="s">
        <v>8</v>
      </c>
      <c r="F29" s="13" t="s">
        <v>5</v>
      </c>
    </row>
    <row r="30" spans="1:6" ht="16" x14ac:dyDescent="0.4">
      <c r="A30" s="13">
        <f t="shared" si="0"/>
        <v>29</v>
      </c>
      <c r="B30" s="13" t="s">
        <v>8</v>
      </c>
      <c r="C30" s="13" t="s">
        <v>10</v>
      </c>
      <c r="D30" s="13" t="s">
        <v>8</v>
      </c>
      <c r="E30" s="13" t="s">
        <v>8</v>
      </c>
      <c r="F30" s="13" t="s">
        <v>5</v>
      </c>
    </row>
    <row r="31" spans="1:6" ht="16" x14ac:dyDescent="0.4">
      <c r="A31" s="13">
        <f t="shared" si="0"/>
        <v>30</v>
      </c>
      <c r="B31" s="13" t="s">
        <v>8</v>
      </c>
      <c r="C31" s="13" t="s">
        <v>9</v>
      </c>
      <c r="D31" s="13" t="s">
        <v>8</v>
      </c>
      <c r="E31" s="13" t="s">
        <v>8</v>
      </c>
      <c r="F31" s="13" t="s">
        <v>5</v>
      </c>
    </row>
    <row r="32" spans="1:6" ht="16" x14ac:dyDescent="0.4">
      <c r="A32" s="13">
        <f t="shared" si="0"/>
        <v>31</v>
      </c>
      <c r="B32" s="13" t="s">
        <v>8</v>
      </c>
      <c r="C32" s="13" t="s">
        <v>9</v>
      </c>
      <c r="D32" s="13" t="s">
        <v>8</v>
      </c>
      <c r="E32" s="13" t="s">
        <v>8</v>
      </c>
      <c r="F32" s="13" t="s">
        <v>5</v>
      </c>
    </row>
    <row r="33" spans="1:6" ht="16" x14ac:dyDescent="0.4">
      <c r="A33" s="13">
        <f t="shared" si="0"/>
        <v>32</v>
      </c>
      <c r="B33" s="13" t="s">
        <v>8</v>
      </c>
      <c r="C33" s="13" t="s">
        <v>9</v>
      </c>
      <c r="D33" s="13" t="s">
        <v>8</v>
      </c>
      <c r="E33" s="13" t="s">
        <v>8</v>
      </c>
      <c r="F33" s="13" t="s">
        <v>5</v>
      </c>
    </row>
    <row r="34" spans="1:6" ht="16" x14ac:dyDescent="0.4">
      <c r="A34" s="13">
        <f t="shared" si="0"/>
        <v>33</v>
      </c>
      <c r="B34" s="13" t="s">
        <v>8</v>
      </c>
      <c r="C34" s="13" t="s">
        <v>9</v>
      </c>
      <c r="D34" s="13" t="s">
        <v>8</v>
      </c>
      <c r="E34" s="13" t="s">
        <v>8</v>
      </c>
      <c r="F34" s="13" t="s">
        <v>5</v>
      </c>
    </row>
    <row r="35" spans="1:6" ht="16" x14ac:dyDescent="0.4">
      <c r="A35" s="13">
        <f t="shared" si="0"/>
        <v>34</v>
      </c>
      <c r="B35" s="13" t="s">
        <v>8</v>
      </c>
      <c r="C35" s="13" t="s">
        <v>9</v>
      </c>
      <c r="D35" s="13" t="s">
        <v>8</v>
      </c>
      <c r="E35" s="13" t="s">
        <v>8</v>
      </c>
      <c r="F35" s="13" t="s">
        <v>5</v>
      </c>
    </row>
    <row r="36" spans="1:6" ht="16" x14ac:dyDescent="0.4">
      <c r="A36" s="13">
        <f t="shared" si="0"/>
        <v>35</v>
      </c>
      <c r="B36" s="13" t="s">
        <v>8</v>
      </c>
      <c r="C36" s="13" t="s">
        <v>9</v>
      </c>
      <c r="D36" s="13" t="s">
        <v>8</v>
      </c>
      <c r="E36" s="13" t="s">
        <v>8</v>
      </c>
      <c r="F36" s="13" t="s">
        <v>5</v>
      </c>
    </row>
    <row r="37" spans="1:6" ht="16" x14ac:dyDescent="0.4">
      <c r="A37" s="13">
        <f t="shared" si="0"/>
        <v>36</v>
      </c>
      <c r="B37" s="13" t="s">
        <v>8</v>
      </c>
      <c r="C37" s="13" t="s">
        <v>9</v>
      </c>
      <c r="D37" s="13" t="s">
        <v>8</v>
      </c>
      <c r="E37" s="13" t="s">
        <v>8</v>
      </c>
      <c r="F37" s="13" t="s">
        <v>5</v>
      </c>
    </row>
    <row r="38" spans="1:6" ht="16" x14ac:dyDescent="0.4">
      <c r="A38" s="13">
        <f t="shared" si="0"/>
        <v>37</v>
      </c>
      <c r="B38" s="13" t="s">
        <v>8</v>
      </c>
      <c r="C38" s="13" t="s">
        <v>9</v>
      </c>
      <c r="D38" s="13" t="s">
        <v>8</v>
      </c>
      <c r="E38" s="13" t="s">
        <v>8</v>
      </c>
      <c r="F38" s="13" t="s">
        <v>5</v>
      </c>
    </row>
    <row r="39" spans="1:6" ht="16" x14ac:dyDescent="0.4">
      <c r="A39" s="13">
        <f t="shared" si="0"/>
        <v>38</v>
      </c>
      <c r="B39" s="13" t="s">
        <v>8</v>
      </c>
      <c r="C39" s="13" t="s">
        <v>9</v>
      </c>
      <c r="D39" s="13" t="s">
        <v>8</v>
      </c>
      <c r="E39" s="13" t="s">
        <v>8</v>
      </c>
      <c r="F39" s="13" t="s">
        <v>5</v>
      </c>
    </row>
    <row r="40" spans="1:6" ht="16" x14ac:dyDescent="0.4">
      <c r="A40" s="13">
        <f t="shared" si="0"/>
        <v>39</v>
      </c>
      <c r="B40" s="13" t="s">
        <v>8</v>
      </c>
      <c r="C40" s="13" t="s">
        <v>9</v>
      </c>
      <c r="D40" s="13" t="s">
        <v>8</v>
      </c>
      <c r="E40" s="13" t="s">
        <v>8</v>
      </c>
      <c r="F40" s="13" t="s">
        <v>5</v>
      </c>
    </row>
    <row r="41" spans="1:6" ht="16" x14ac:dyDescent="0.4">
      <c r="A41" s="13">
        <f t="shared" si="0"/>
        <v>40</v>
      </c>
      <c r="B41" s="13" t="s">
        <v>8</v>
      </c>
      <c r="C41" s="13" t="s">
        <v>9</v>
      </c>
      <c r="D41" s="13" t="s">
        <v>8</v>
      </c>
      <c r="E41" s="13" t="s">
        <v>8</v>
      </c>
      <c r="F41" s="13" t="s">
        <v>5</v>
      </c>
    </row>
    <row r="42" spans="1:6" ht="16" x14ac:dyDescent="0.4">
      <c r="A42" s="13">
        <f t="shared" si="0"/>
        <v>41</v>
      </c>
      <c r="B42" s="13" t="s">
        <v>8</v>
      </c>
      <c r="C42" s="13" t="s">
        <v>9</v>
      </c>
      <c r="D42" s="13" t="s">
        <v>8</v>
      </c>
      <c r="E42" s="13" t="s">
        <v>8</v>
      </c>
      <c r="F42" s="13" t="s">
        <v>5</v>
      </c>
    </row>
    <row r="43" spans="1:6" ht="16" x14ac:dyDescent="0.4">
      <c r="A43" s="13">
        <f t="shared" si="0"/>
        <v>42</v>
      </c>
      <c r="B43" s="13" t="s">
        <v>8</v>
      </c>
      <c r="C43" s="13" t="s">
        <v>9</v>
      </c>
      <c r="D43" s="13" t="s">
        <v>8</v>
      </c>
      <c r="E43" s="13" t="s">
        <v>8</v>
      </c>
      <c r="F43" s="13" t="s">
        <v>5</v>
      </c>
    </row>
    <row r="44" spans="1:6" ht="16" x14ac:dyDescent="0.4">
      <c r="A44" s="13">
        <f t="shared" si="0"/>
        <v>43</v>
      </c>
      <c r="B44" s="13" t="s">
        <v>8</v>
      </c>
      <c r="C44" s="13" t="s">
        <v>9</v>
      </c>
      <c r="D44" s="13" t="s">
        <v>8</v>
      </c>
      <c r="E44" s="13" t="s">
        <v>8</v>
      </c>
      <c r="F44" s="13" t="s">
        <v>5</v>
      </c>
    </row>
    <row r="45" spans="1:6" ht="16" x14ac:dyDescent="0.4">
      <c r="A45" s="13">
        <f t="shared" si="0"/>
        <v>44</v>
      </c>
      <c r="B45" s="13" t="s">
        <v>8</v>
      </c>
      <c r="C45" s="13" t="s">
        <v>9</v>
      </c>
      <c r="D45" s="13" t="s">
        <v>8</v>
      </c>
      <c r="E45" s="13" t="s">
        <v>8</v>
      </c>
      <c r="F45" s="13" t="s">
        <v>5</v>
      </c>
    </row>
    <row r="46" spans="1:6" ht="16" x14ac:dyDescent="0.4">
      <c r="A46" s="13">
        <f t="shared" si="0"/>
        <v>45</v>
      </c>
      <c r="B46" s="13" t="s">
        <v>8</v>
      </c>
      <c r="C46" s="13" t="s">
        <v>9</v>
      </c>
      <c r="D46" s="13" t="s">
        <v>8</v>
      </c>
      <c r="E46" s="13" t="s">
        <v>8</v>
      </c>
      <c r="F46" s="13" t="s">
        <v>5</v>
      </c>
    </row>
    <row r="47" spans="1:6" ht="16" x14ac:dyDescent="0.4">
      <c r="A47" s="13">
        <f t="shared" si="0"/>
        <v>46</v>
      </c>
      <c r="B47" s="13" t="s">
        <v>8</v>
      </c>
      <c r="C47" s="13" t="s">
        <v>8</v>
      </c>
      <c r="D47" s="13" t="s">
        <v>9</v>
      </c>
      <c r="E47" s="13" t="s">
        <v>10</v>
      </c>
      <c r="F47" s="13" t="s">
        <v>7</v>
      </c>
    </row>
    <row r="48" spans="1:6" ht="16" x14ac:dyDescent="0.4">
      <c r="A48" s="13">
        <f t="shared" si="0"/>
        <v>47</v>
      </c>
      <c r="B48" s="13" t="s">
        <v>8</v>
      </c>
      <c r="C48" s="13" t="s">
        <v>8</v>
      </c>
      <c r="D48" s="13" t="s">
        <v>8</v>
      </c>
      <c r="E48" s="13" t="s">
        <v>9</v>
      </c>
      <c r="F48" s="13" t="s">
        <v>6</v>
      </c>
    </row>
    <row r="49" spans="1:6" ht="16" x14ac:dyDescent="0.4">
      <c r="A49" s="13">
        <f t="shared" si="0"/>
        <v>48</v>
      </c>
      <c r="B49" s="13" t="s">
        <v>8</v>
      </c>
      <c r="C49" s="13" t="s">
        <v>8</v>
      </c>
      <c r="D49" s="13" t="s">
        <v>9</v>
      </c>
      <c r="E49" s="13" t="s">
        <v>9</v>
      </c>
      <c r="F49" s="13" t="s">
        <v>6</v>
      </c>
    </row>
    <row r="50" spans="1:6" ht="16" x14ac:dyDescent="0.4">
      <c r="A50" s="13">
        <f t="shared" si="0"/>
        <v>49</v>
      </c>
      <c r="B50" s="13" t="s">
        <v>8</v>
      </c>
      <c r="C50" s="13" t="s">
        <v>8</v>
      </c>
      <c r="D50" s="13" t="s">
        <v>9</v>
      </c>
      <c r="E50" s="13" t="s">
        <v>9</v>
      </c>
      <c r="F50" s="13" t="s">
        <v>6</v>
      </c>
    </row>
    <row r="51" spans="1:6" ht="16" x14ac:dyDescent="0.4">
      <c r="A51" s="13">
        <f t="shared" si="0"/>
        <v>50</v>
      </c>
      <c r="B51" s="13" t="s">
        <v>8</v>
      </c>
      <c r="C51" s="13" t="s">
        <v>8</v>
      </c>
      <c r="D51" s="13" t="s">
        <v>9</v>
      </c>
      <c r="E51" s="13" t="s">
        <v>9</v>
      </c>
      <c r="F51" s="13" t="s">
        <v>6</v>
      </c>
    </row>
    <row r="52" spans="1:6" ht="16" x14ac:dyDescent="0.4">
      <c r="A52" s="13">
        <f t="shared" si="0"/>
        <v>51</v>
      </c>
      <c r="B52" s="13" t="s">
        <v>8</v>
      </c>
      <c r="C52" s="13" t="s">
        <v>8</v>
      </c>
      <c r="D52" s="13" t="s">
        <v>9</v>
      </c>
      <c r="E52" s="13" t="s">
        <v>9</v>
      </c>
      <c r="F52" s="13" t="s">
        <v>6</v>
      </c>
    </row>
    <row r="53" spans="1:6" ht="16" x14ac:dyDescent="0.4">
      <c r="A53" s="13">
        <f t="shared" si="0"/>
        <v>52</v>
      </c>
      <c r="B53" s="13" t="s">
        <v>8</v>
      </c>
      <c r="C53" s="13" t="s">
        <v>9</v>
      </c>
      <c r="D53" s="13" t="s">
        <v>9</v>
      </c>
      <c r="E53" s="13" t="s">
        <v>9</v>
      </c>
      <c r="F53" s="13" t="s">
        <v>6</v>
      </c>
    </row>
    <row r="54" spans="1:6" ht="16" x14ac:dyDescent="0.4">
      <c r="A54" s="13">
        <f t="shared" si="0"/>
        <v>53</v>
      </c>
      <c r="B54" s="13" t="s">
        <v>10</v>
      </c>
      <c r="C54" s="13" t="s">
        <v>8</v>
      </c>
      <c r="D54" s="13" t="s">
        <v>10</v>
      </c>
      <c r="E54" s="13" t="s">
        <v>10</v>
      </c>
      <c r="F54" s="13" t="s">
        <v>7</v>
      </c>
    </row>
    <row r="55" spans="1:6" ht="16" x14ac:dyDescent="0.4">
      <c r="A55" s="13">
        <f t="shared" si="0"/>
        <v>54</v>
      </c>
      <c r="B55" s="13" t="s">
        <v>10</v>
      </c>
      <c r="C55" s="13" t="s">
        <v>8</v>
      </c>
      <c r="D55" s="13" t="s">
        <v>10</v>
      </c>
      <c r="E55" s="13" t="s">
        <v>10</v>
      </c>
      <c r="F55" s="13" t="s">
        <v>7</v>
      </c>
    </row>
    <row r="56" spans="1:6" ht="16" x14ac:dyDescent="0.4">
      <c r="A56" s="13">
        <f t="shared" si="0"/>
        <v>55</v>
      </c>
      <c r="B56" s="13" t="s">
        <v>10</v>
      </c>
      <c r="C56" s="13" t="s">
        <v>8</v>
      </c>
      <c r="D56" s="13" t="s">
        <v>10</v>
      </c>
      <c r="E56" s="13" t="s">
        <v>10</v>
      </c>
      <c r="F56" s="13" t="s">
        <v>7</v>
      </c>
    </row>
    <row r="57" spans="1:6" ht="16" x14ac:dyDescent="0.4">
      <c r="A57" s="13">
        <f t="shared" si="0"/>
        <v>56</v>
      </c>
      <c r="B57" s="13" t="s">
        <v>10</v>
      </c>
      <c r="C57" s="13" t="s">
        <v>8</v>
      </c>
      <c r="D57" s="13" t="s">
        <v>10</v>
      </c>
      <c r="E57" s="13" t="s">
        <v>10</v>
      </c>
      <c r="F57" s="13" t="s">
        <v>7</v>
      </c>
    </row>
    <row r="58" spans="1:6" ht="16" x14ac:dyDescent="0.4">
      <c r="A58" s="13">
        <f t="shared" si="0"/>
        <v>57</v>
      </c>
      <c r="B58" s="13" t="s">
        <v>10</v>
      </c>
      <c r="C58" s="13" t="s">
        <v>8</v>
      </c>
      <c r="D58" s="13" t="s">
        <v>10</v>
      </c>
      <c r="E58" s="13" t="s">
        <v>10</v>
      </c>
      <c r="F58" s="13" t="s">
        <v>7</v>
      </c>
    </row>
    <row r="59" spans="1:6" ht="16" x14ac:dyDescent="0.4">
      <c r="A59" s="13">
        <f t="shared" si="0"/>
        <v>58</v>
      </c>
      <c r="B59" s="13" t="s">
        <v>10</v>
      </c>
      <c r="C59" s="13" t="s">
        <v>8</v>
      </c>
      <c r="D59" s="13" t="s">
        <v>10</v>
      </c>
      <c r="E59" s="13" t="s">
        <v>10</v>
      </c>
      <c r="F59" s="13" t="s">
        <v>7</v>
      </c>
    </row>
    <row r="60" spans="1:6" ht="16" x14ac:dyDescent="0.4">
      <c r="A60" s="13">
        <f t="shared" si="0"/>
        <v>59</v>
      </c>
      <c r="B60" s="13" t="s">
        <v>10</v>
      </c>
      <c r="C60" s="13" t="s">
        <v>8</v>
      </c>
      <c r="D60" s="13" t="s">
        <v>10</v>
      </c>
      <c r="E60" s="13" t="s">
        <v>10</v>
      </c>
      <c r="F60" s="13" t="s">
        <v>7</v>
      </c>
    </row>
    <row r="61" spans="1:6" ht="16" x14ac:dyDescent="0.4">
      <c r="A61" s="13">
        <f t="shared" si="0"/>
        <v>60</v>
      </c>
      <c r="B61" s="13" t="s">
        <v>10</v>
      </c>
      <c r="C61" s="13" t="s">
        <v>8</v>
      </c>
      <c r="D61" s="13" t="s">
        <v>10</v>
      </c>
      <c r="E61" s="13" t="s">
        <v>10</v>
      </c>
      <c r="F61" s="13" t="s">
        <v>7</v>
      </c>
    </row>
    <row r="62" spans="1:6" ht="16" x14ac:dyDescent="0.4">
      <c r="A62" s="13">
        <f t="shared" si="0"/>
        <v>61</v>
      </c>
      <c r="B62" s="13" t="s">
        <v>10</v>
      </c>
      <c r="C62" s="13" t="s">
        <v>8</v>
      </c>
      <c r="D62" s="13" t="s">
        <v>10</v>
      </c>
      <c r="E62" s="13" t="s">
        <v>10</v>
      </c>
      <c r="F62" s="13" t="s">
        <v>7</v>
      </c>
    </row>
    <row r="63" spans="1:6" ht="16" x14ac:dyDescent="0.4">
      <c r="A63" s="13">
        <f t="shared" si="0"/>
        <v>62</v>
      </c>
      <c r="B63" s="13" t="s">
        <v>10</v>
      </c>
      <c r="C63" s="13" t="s">
        <v>8</v>
      </c>
      <c r="D63" s="13" t="s">
        <v>10</v>
      </c>
      <c r="E63" s="13" t="s">
        <v>10</v>
      </c>
      <c r="F63" s="13" t="s">
        <v>7</v>
      </c>
    </row>
    <row r="64" spans="1:6" ht="16" x14ac:dyDescent="0.4">
      <c r="A64" s="13">
        <f t="shared" si="0"/>
        <v>63</v>
      </c>
      <c r="B64" s="13" t="s">
        <v>10</v>
      </c>
      <c r="C64" s="13" t="s">
        <v>8</v>
      </c>
      <c r="D64" s="13" t="s">
        <v>10</v>
      </c>
      <c r="E64" s="13" t="s">
        <v>10</v>
      </c>
      <c r="F64" s="13" t="s">
        <v>7</v>
      </c>
    </row>
    <row r="65" spans="1:6" ht="16" x14ac:dyDescent="0.4">
      <c r="A65" s="13">
        <f t="shared" si="0"/>
        <v>64</v>
      </c>
      <c r="B65" s="13" t="s">
        <v>10</v>
      </c>
      <c r="C65" s="13" t="s">
        <v>10</v>
      </c>
      <c r="D65" s="13" t="s">
        <v>10</v>
      </c>
      <c r="E65" s="13" t="s">
        <v>10</v>
      </c>
      <c r="F65" s="13" t="s">
        <v>7</v>
      </c>
    </row>
    <row r="66" spans="1:6" ht="16" x14ac:dyDescent="0.4">
      <c r="A66" s="13">
        <f t="shared" si="0"/>
        <v>65</v>
      </c>
      <c r="B66" s="13" t="s">
        <v>10</v>
      </c>
      <c r="C66" s="13" t="s">
        <v>10</v>
      </c>
      <c r="D66" s="13" t="s">
        <v>10</v>
      </c>
      <c r="E66" s="13" t="s">
        <v>10</v>
      </c>
      <c r="F66" s="13" t="s">
        <v>7</v>
      </c>
    </row>
    <row r="67" spans="1:6" ht="16" x14ac:dyDescent="0.4">
      <c r="A67" s="13">
        <f t="shared" si="0"/>
        <v>66</v>
      </c>
      <c r="B67" s="13" t="s">
        <v>10</v>
      </c>
      <c r="C67" s="13" t="s">
        <v>10</v>
      </c>
      <c r="D67" s="13" t="s">
        <v>10</v>
      </c>
      <c r="E67" s="13" t="s">
        <v>10</v>
      </c>
      <c r="F67" s="13" t="s">
        <v>7</v>
      </c>
    </row>
    <row r="68" spans="1:6" ht="16" x14ac:dyDescent="0.4">
      <c r="A68" s="13">
        <f t="shared" ref="A68:A131" si="1">1+A67</f>
        <v>67</v>
      </c>
      <c r="B68" s="13" t="s">
        <v>10</v>
      </c>
      <c r="C68" s="13" t="s">
        <v>10</v>
      </c>
      <c r="D68" s="13" t="s">
        <v>10</v>
      </c>
      <c r="E68" s="13" t="s">
        <v>10</v>
      </c>
      <c r="F68" s="13" t="s">
        <v>7</v>
      </c>
    </row>
    <row r="69" spans="1:6" ht="16" x14ac:dyDescent="0.4">
      <c r="A69" s="13">
        <f t="shared" si="1"/>
        <v>68</v>
      </c>
      <c r="B69" s="13" t="s">
        <v>10</v>
      </c>
      <c r="C69" s="13" t="s">
        <v>10</v>
      </c>
      <c r="D69" s="13" t="s">
        <v>10</v>
      </c>
      <c r="E69" s="13" t="s">
        <v>10</v>
      </c>
      <c r="F69" s="13" t="s">
        <v>7</v>
      </c>
    </row>
    <row r="70" spans="1:6" ht="16" x14ac:dyDescent="0.4">
      <c r="A70" s="13">
        <f t="shared" si="1"/>
        <v>69</v>
      </c>
      <c r="B70" s="13" t="s">
        <v>10</v>
      </c>
      <c r="C70" s="13" t="s">
        <v>10</v>
      </c>
      <c r="D70" s="13" t="s">
        <v>10</v>
      </c>
      <c r="E70" s="13" t="s">
        <v>10</v>
      </c>
      <c r="F70" s="13" t="s">
        <v>7</v>
      </c>
    </row>
    <row r="71" spans="1:6" ht="16" x14ac:dyDescent="0.4">
      <c r="A71" s="13">
        <f t="shared" si="1"/>
        <v>70</v>
      </c>
      <c r="B71" s="13" t="s">
        <v>10</v>
      </c>
      <c r="C71" s="13" t="s">
        <v>10</v>
      </c>
      <c r="D71" s="13" t="s">
        <v>10</v>
      </c>
      <c r="E71" s="13" t="s">
        <v>10</v>
      </c>
      <c r="F71" s="13" t="s">
        <v>7</v>
      </c>
    </row>
    <row r="72" spans="1:6" ht="16" x14ac:dyDescent="0.4">
      <c r="A72" s="13">
        <f t="shared" si="1"/>
        <v>71</v>
      </c>
      <c r="B72" s="13" t="s">
        <v>10</v>
      </c>
      <c r="C72" s="13" t="s">
        <v>10</v>
      </c>
      <c r="D72" s="13" t="s">
        <v>9</v>
      </c>
      <c r="E72" s="13" t="s">
        <v>10</v>
      </c>
      <c r="F72" s="13" t="s">
        <v>6</v>
      </c>
    </row>
    <row r="73" spans="1:6" ht="16" x14ac:dyDescent="0.4">
      <c r="A73" s="13">
        <f t="shared" si="1"/>
        <v>72</v>
      </c>
      <c r="B73" s="13" t="s">
        <v>10</v>
      </c>
      <c r="C73" s="13" t="s">
        <v>9</v>
      </c>
      <c r="D73" s="13" t="s">
        <v>10</v>
      </c>
      <c r="E73" s="13" t="s">
        <v>10</v>
      </c>
      <c r="F73" s="13" t="s">
        <v>6</v>
      </c>
    </row>
    <row r="74" spans="1:6" ht="16" x14ac:dyDescent="0.4">
      <c r="A74" s="13">
        <f t="shared" si="1"/>
        <v>73</v>
      </c>
      <c r="B74" s="13" t="s">
        <v>10</v>
      </c>
      <c r="C74" s="13" t="s">
        <v>9</v>
      </c>
      <c r="D74" s="13" t="s">
        <v>10</v>
      </c>
      <c r="E74" s="13" t="s">
        <v>10</v>
      </c>
      <c r="F74" s="13" t="s">
        <v>7</v>
      </c>
    </row>
    <row r="75" spans="1:6" ht="16" x14ac:dyDescent="0.4">
      <c r="A75" s="13">
        <f t="shared" si="1"/>
        <v>74</v>
      </c>
      <c r="B75" s="13" t="s">
        <v>10</v>
      </c>
      <c r="C75" s="13" t="s">
        <v>9</v>
      </c>
      <c r="D75" s="13" t="s">
        <v>10</v>
      </c>
      <c r="E75" s="13" t="s">
        <v>10</v>
      </c>
      <c r="F75" s="13" t="s">
        <v>7</v>
      </c>
    </row>
    <row r="76" spans="1:6" ht="16" x14ac:dyDescent="0.4">
      <c r="A76" s="13">
        <f t="shared" si="1"/>
        <v>75</v>
      </c>
      <c r="B76" s="13" t="s">
        <v>10</v>
      </c>
      <c r="C76" s="13" t="s">
        <v>9</v>
      </c>
      <c r="D76" s="13" t="s">
        <v>10</v>
      </c>
      <c r="E76" s="13" t="s">
        <v>10</v>
      </c>
      <c r="F76" s="13" t="s">
        <v>7</v>
      </c>
    </row>
    <row r="77" spans="1:6" ht="16" x14ac:dyDescent="0.4">
      <c r="A77" s="13">
        <f t="shared" si="1"/>
        <v>76</v>
      </c>
      <c r="B77" s="13" t="s">
        <v>10</v>
      </c>
      <c r="C77" s="13" t="s">
        <v>9</v>
      </c>
      <c r="D77" s="13" t="s">
        <v>10</v>
      </c>
      <c r="E77" s="13" t="s">
        <v>10</v>
      </c>
      <c r="F77" s="13" t="s">
        <v>7</v>
      </c>
    </row>
    <row r="78" spans="1:6" ht="16" x14ac:dyDescent="0.4">
      <c r="A78" s="13">
        <f t="shared" si="1"/>
        <v>77</v>
      </c>
      <c r="B78" s="13" t="s">
        <v>10</v>
      </c>
      <c r="C78" s="13" t="s">
        <v>9</v>
      </c>
      <c r="D78" s="13" t="s">
        <v>10</v>
      </c>
      <c r="E78" s="13" t="s">
        <v>10</v>
      </c>
      <c r="F78" s="13" t="s">
        <v>7</v>
      </c>
    </row>
    <row r="79" spans="1:6" ht="16" x14ac:dyDescent="0.4">
      <c r="A79" s="13">
        <f t="shared" si="1"/>
        <v>78</v>
      </c>
      <c r="B79" s="13" t="s">
        <v>10</v>
      </c>
      <c r="C79" s="13" t="s">
        <v>9</v>
      </c>
      <c r="D79" s="13" t="s">
        <v>10</v>
      </c>
      <c r="E79" s="13" t="s">
        <v>10</v>
      </c>
      <c r="F79" s="13" t="s">
        <v>7</v>
      </c>
    </row>
    <row r="80" spans="1:6" ht="16" x14ac:dyDescent="0.4">
      <c r="A80" s="13">
        <f t="shared" si="1"/>
        <v>79</v>
      </c>
      <c r="B80" s="13" t="s">
        <v>10</v>
      </c>
      <c r="C80" s="13" t="s">
        <v>9</v>
      </c>
      <c r="D80" s="13" t="s">
        <v>10</v>
      </c>
      <c r="E80" s="13" t="s">
        <v>10</v>
      </c>
      <c r="F80" s="13" t="s">
        <v>7</v>
      </c>
    </row>
    <row r="81" spans="1:6" ht="16" x14ac:dyDescent="0.4">
      <c r="A81" s="13">
        <f t="shared" si="1"/>
        <v>80</v>
      </c>
      <c r="B81" s="13" t="s">
        <v>10</v>
      </c>
      <c r="C81" s="13" t="s">
        <v>9</v>
      </c>
      <c r="D81" s="13" t="s">
        <v>10</v>
      </c>
      <c r="E81" s="13" t="s">
        <v>10</v>
      </c>
      <c r="F81" s="13" t="s">
        <v>7</v>
      </c>
    </row>
    <row r="82" spans="1:6" ht="16" x14ac:dyDescent="0.4">
      <c r="A82" s="13">
        <f t="shared" si="1"/>
        <v>81</v>
      </c>
      <c r="B82" s="13" t="s">
        <v>10</v>
      </c>
      <c r="C82" s="13" t="s">
        <v>9</v>
      </c>
      <c r="D82" s="13" t="s">
        <v>10</v>
      </c>
      <c r="E82" s="13" t="s">
        <v>10</v>
      </c>
      <c r="F82" s="13" t="s">
        <v>7</v>
      </c>
    </row>
    <row r="83" spans="1:6" ht="16" x14ac:dyDescent="0.4">
      <c r="A83" s="13">
        <f t="shared" si="1"/>
        <v>82</v>
      </c>
      <c r="B83" s="13" t="s">
        <v>10</v>
      </c>
      <c r="C83" s="13" t="s">
        <v>9</v>
      </c>
      <c r="D83" s="13" t="s">
        <v>10</v>
      </c>
      <c r="E83" s="13" t="s">
        <v>10</v>
      </c>
      <c r="F83" s="13" t="s">
        <v>7</v>
      </c>
    </row>
    <row r="84" spans="1:6" ht="16" x14ac:dyDescent="0.4">
      <c r="A84" s="13">
        <f t="shared" si="1"/>
        <v>83</v>
      </c>
      <c r="B84" s="13" t="s">
        <v>10</v>
      </c>
      <c r="C84" s="13" t="s">
        <v>9</v>
      </c>
      <c r="D84" s="13" t="s">
        <v>10</v>
      </c>
      <c r="E84" s="13" t="s">
        <v>10</v>
      </c>
      <c r="F84" s="13" t="s">
        <v>7</v>
      </c>
    </row>
    <row r="85" spans="1:6" ht="16" x14ac:dyDescent="0.4">
      <c r="A85" s="13">
        <f t="shared" si="1"/>
        <v>84</v>
      </c>
      <c r="B85" s="13" t="s">
        <v>10</v>
      </c>
      <c r="C85" s="13" t="s">
        <v>9</v>
      </c>
      <c r="D85" s="13" t="s">
        <v>10</v>
      </c>
      <c r="E85" s="13" t="s">
        <v>10</v>
      </c>
      <c r="F85" s="13" t="s">
        <v>7</v>
      </c>
    </row>
    <row r="86" spans="1:6" ht="16" x14ac:dyDescent="0.4">
      <c r="A86" s="13">
        <f t="shared" si="1"/>
        <v>85</v>
      </c>
      <c r="B86" s="13" t="s">
        <v>10</v>
      </c>
      <c r="C86" s="13" t="s">
        <v>9</v>
      </c>
      <c r="D86" s="13" t="s">
        <v>10</v>
      </c>
      <c r="E86" s="13" t="s">
        <v>10</v>
      </c>
      <c r="F86" s="13" t="s">
        <v>7</v>
      </c>
    </row>
    <row r="87" spans="1:6" ht="16" x14ac:dyDescent="0.4">
      <c r="A87" s="13">
        <f t="shared" si="1"/>
        <v>86</v>
      </c>
      <c r="B87" s="13" t="s">
        <v>10</v>
      </c>
      <c r="C87" s="13" t="s">
        <v>9</v>
      </c>
      <c r="D87" s="13" t="s">
        <v>10</v>
      </c>
      <c r="E87" s="13" t="s">
        <v>10</v>
      </c>
      <c r="F87" s="13" t="s">
        <v>7</v>
      </c>
    </row>
    <row r="88" spans="1:6" ht="16" x14ac:dyDescent="0.4">
      <c r="A88" s="13">
        <f t="shared" si="1"/>
        <v>87</v>
      </c>
      <c r="B88" s="13" t="s">
        <v>10</v>
      </c>
      <c r="C88" s="13" t="s">
        <v>9</v>
      </c>
      <c r="D88" s="13" t="s">
        <v>10</v>
      </c>
      <c r="E88" s="13" t="s">
        <v>10</v>
      </c>
      <c r="F88" s="13" t="s">
        <v>7</v>
      </c>
    </row>
    <row r="89" spans="1:6" ht="16" x14ac:dyDescent="0.4">
      <c r="A89" s="13">
        <f t="shared" si="1"/>
        <v>88</v>
      </c>
      <c r="B89" s="13" t="s">
        <v>10</v>
      </c>
      <c r="C89" s="13" t="s">
        <v>9</v>
      </c>
      <c r="D89" s="13" t="s">
        <v>10</v>
      </c>
      <c r="E89" s="13" t="s">
        <v>10</v>
      </c>
      <c r="F89" s="13" t="s">
        <v>7</v>
      </c>
    </row>
    <row r="90" spans="1:6" ht="16" x14ac:dyDescent="0.4">
      <c r="A90" s="13">
        <f t="shared" si="1"/>
        <v>89</v>
      </c>
      <c r="B90" s="13" t="s">
        <v>10</v>
      </c>
      <c r="C90" s="13" t="s">
        <v>9</v>
      </c>
      <c r="D90" s="13" t="s">
        <v>10</v>
      </c>
      <c r="E90" s="13" t="s">
        <v>10</v>
      </c>
      <c r="F90" s="13" t="s">
        <v>7</v>
      </c>
    </row>
    <row r="91" spans="1:6" ht="16" x14ac:dyDescent="0.4">
      <c r="A91" s="13">
        <f t="shared" si="1"/>
        <v>90</v>
      </c>
      <c r="B91" s="13" t="s">
        <v>10</v>
      </c>
      <c r="C91" s="13" t="s">
        <v>9</v>
      </c>
      <c r="D91" s="13" t="s">
        <v>10</v>
      </c>
      <c r="E91" s="13" t="s">
        <v>10</v>
      </c>
      <c r="F91" s="13" t="s">
        <v>7</v>
      </c>
    </row>
    <row r="92" spans="1:6" ht="16" x14ac:dyDescent="0.4">
      <c r="A92" s="13">
        <f t="shared" si="1"/>
        <v>91</v>
      </c>
      <c r="B92" s="13" t="s">
        <v>10</v>
      </c>
      <c r="C92" s="13" t="s">
        <v>8</v>
      </c>
      <c r="D92" s="13" t="s">
        <v>10</v>
      </c>
      <c r="E92" s="13" t="s">
        <v>9</v>
      </c>
      <c r="F92" s="13" t="s">
        <v>6</v>
      </c>
    </row>
    <row r="93" spans="1:6" ht="16" x14ac:dyDescent="0.4">
      <c r="A93" s="13">
        <f t="shared" si="1"/>
        <v>92</v>
      </c>
      <c r="B93" s="13" t="s">
        <v>10</v>
      </c>
      <c r="C93" s="13" t="s">
        <v>8</v>
      </c>
      <c r="D93" s="13" t="s">
        <v>10</v>
      </c>
      <c r="E93" s="13" t="s">
        <v>9</v>
      </c>
      <c r="F93" s="13" t="s">
        <v>7</v>
      </c>
    </row>
    <row r="94" spans="1:6" ht="16" x14ac:dyDescent="0.4">
      <c r="A94" s="13">
        <f t="shared" si="1"/>
        <v>93</v>
      </c>
      <c r="B94" s="13" t="s">
        <v>10</v>
      </c>
      <c r="C94" s="13" t="s">
        <v>8</v>
      </c>
      <c r="D94" s="13" t="s">
        <v>9</v>
      </c>
      <c r="E94" s="13" t="s">
        <v>9</v>
      </c>
      <c r="F94" s="13" t="s">
        <v>6</v>
      </c>
    </row>
    <row r="95" spans="1:6" ht="16" x14ac:dyDescent="0.4">
      <c r="A95" s="13">
        <f t="shared" si="1"/>
        <v>94</v>
      </c>
      <c r="B95" s="13" t="s">
        <v>10</v>
      </c>
      <c r="C95" s="13" t="s">
        <v>8</v>
      </c>
      <c r="D95" s="13" t="s">
        <v>9</v>
      </c>
      <c r="E95" s="13" t="s">
        <v>9</v>
      </c>
      <c r="F95" s="13" t="s">
        <v>6</v>
      </c>
    </row>
    <row r="96" spans="1:6" ht="16" x14ac:dyDescent="0.4">
      <c r="A96" s="13">
        <f t="shared" si="1"/>
        <v>95</v>
      </c>
      <c r="B96" s="13" t="s">
        <v>10</v>
      </c>
      <c r="C96" s="13" t="s">
        <v>8</v>
      </c>
      <c r="D96" s="13" t="s">
        <v>9</v>
      </c>
      <c r="E96" s="13" t="s">
        <v>9</v>
      </c>
      <c r="F96" s="13" t="s">
        <v>6</v>
      </c>
    </row>
    <row r="97" spans="1:6" ht="16" x14ac:dyDescent="0.4">
      <c r="A97" s="13">
        <f t="shared" si="1"/>
        <v>96</v>
      </c>
      <c r="B97" s="13" t="s">
        <v>10</v>
      </c>
      <c r="C97" s="13" t="s">
        <v>8</v>
      </c>
      <c r="D97" s="13" t="s">
        <v>9</v>
      </c>
      <c r="E97" s="13" t="s">
        <v>9</v>
      </c>
      <c r="F97" s="13" t="s">
        <v>6</v>
      </c>
    </row>
    <row r="98" spans="1:6" ht="16" x14ac:dyDescent="0.4">
      <c r="A98" s="13">
        <f t="shared" si="1"/>
        <v>97</v>
      </c>
      <c r="B98" s="13" t="s">
        <v>10</v>
      </c>
      <c r="C98" s="13" t="s">
        <v>8</v>
      </c>
      <c r="D98" s="13" t="s">
        <v>9</v>
      </c>
      <c r="E98" s="13" t="s">
        <v>9</v>
      </c>
      <c r="F98" s="13" t="s">
        <v>6</v>
      </c>
    </row>
    <row r="99" spans="1:6" ht="16" x14ac:dyDescent="0.4">
      <c r="A99" s="13">
        <f t="shared" si="1"/>
        <v>98</v>
      </c>
      <c r="B99" s="13" t="s">
        <v>10</v>
      </c>
      <c r="C99" s="13" t="s">
        <v>9</v>
      </c>
      <c r="D99" s="13" t="s">
        <v>10</v>
      </c>
      <c r="E99" s="13" t="s">
        <v>9</v>
      </c>
      <c r="F99" s="13" t="s">
        <v>6</v>
      </c>
    </row>
    <row r="100" spans="1:6" ht="16" x14ac:dyDescent="0.4">
      <c r="A100" s="13">
        <f t="shared" si="1"/>
        <v>99</v>
      </c>
      <c r="B100" s="13" t="s">
        <v>10</v>
      </c>
      <c r="C100" s="13" t="s">
        <v>9</v>
      </c>
      <c r="D100" s="13" t="s">
        <v>9</v>
      </c>
      <c r="E100" s="13" t="s">
        <v>9</v>
      </c>
      <c r="F100" s="13" t="s">
        <v>6</v>
      </c>
    </row>
    <row r="101" spans="1:6" ht="16" x14ac:dyDescent="0.4">
      <c r="A101" s="13">
        <f t="shared" si="1"/>
        <v>100</v>
      </c>
      <c r="B101" s="13" t="s">
        <v>10</v>
      </c>
      <c r="C101" s="13" t="s">
        <v>9</v>
      </c>
      <c r="D101" s="13" t="s">
        <v>9</v>
      </c>
      <c r="E101" s="13" t="s">
        <v>9</v>
      </c>
      <c r="F101" s="13" t="s">
        <v>6</v>
      </c>
    </row>
    <row r="102" spans="1:6" ht="16" x14ac:dyDescent="0.4">
      <c r="A102" s="13">
        <f t="shared" si="1"/>
        <v>101</v>
      </c>
      <c r="B102" s="13" t="s">
        <v>10</v>
      </c>
      <c r="C102" s="13" t="s">
        <v>9</v>
      </c>
      <c r="D102" s="13" t="s">
        <v>9</v>
      </c>
      <c r="E102" s="13" t="s">
        <v>9</v>
      </c>
      <c r="F102" s="13" t="s">
        <v>6</v>
      </c>
    </row>
    <row r="103" spans="1:6" ht="16" x14ac:dyDescent="0.4">
      <c r="A103" s="13">
        <f t="shared" si="1"/>
        <v>102</v>
      </c>
      <c r="B103" s="13" t="s">
        <v>10</v>
      </c>
      <c r="C103" s="13" t="s">
        <v>9</v>
      </c>
      <c r="D103" s="13" t="s">
        <v>9</v>
      </c>
      <c r="E103" s="13" t="s">
        <v>9</v>
      </c>
      <c r="F103" s="13" t="s">
        <v>6</v>
      </c>
    </row>
    <row r="104" spans="1:6" ht="16" x14ac:dyDescent="0.4">
      <c r="A104" s="13">
        <f t="shared" si="1"/>
        <v>103</v>
      </c>
      <c r="B104" s="13" t="s">
        <v>10</v>
      </c>
      <c r="C104" s="13" t="s">
        <v>9</v>
      </c>
      <c r="D104" s="13" t="s">
        <v>9</v>
      </c>
      <c r="E104" s="13" t="s">
        <v>9</v>
      </c>
      <c r="F104" s="13" t="s">
        <v>6</v>
      </c>
    </row>
    <row r="105" spans="1:6" ht="16" x14ac:dyDescent="0.4">
      <c r="A105" s="13">
        <f t="shared" si="1"/>
        <v>104</v>
      </c>
      <c r="B105" s="13" t="s">
        <v>9</v>
      </c>
      <c r="C105" s="13" t="s">
        <v>10</v>
      </c>
      <c r="D105" s="13" t="s">
        <v>8</v>
      </c>
      <c r="E105" s="13" t="s">
        <v>8</v>
      </c>
      <c r="F105" s="13" t="s">
        <v>5</v>
      </c>
    </row>
    <row r="106" spans="1:6" ht="16" x14ac:dyDescent="0.4">
      <c r="A106" s="13">
        <f t="shared" si="1"/>
        <v>105</v>
      </c>
      <c r="B106" s="13" t="s">
        <v>9</v>
      </c>
      <c r="C106" s="13" t="s">
        <v>10</v>
      </c>
      <c r="D106" s="13" t="s">
        <v>8</v>
      </c>
      <c r="E106" s="13" t="s">
        <v>8</v>
      </c>
      <c r="F106" s="13" t="s">
        <v>5</v>
      </c>
    </row>
    <row r="107" spans="1:6" ht="16" x14ac:dyDescent="0.4">
      <c r="A107" s="13">
        <f t="shared" si="1"/>
        <v>106</v>
      </c>
      <c r="B107" s="13" t="s">
        <v>9</v>
      </c>
      <c r="C107" s="13" t="s">
        <v>10</v>
      </c>
      <c r="D107" s="13" t="s">
        <v>8</v>
      </c>
      <c r="E107" s="13" t="s">
        <v>8</v>
      </c>
      <c r="F107" s="13" t="s">
        <v>5</v>
      </c>
    </row>
    <row r="108" spans="1:6" ht="16" x14ac:dyDescent="0.4">
      <c r="A108" s="13">
        <f t="shared" si="1"/>
        <v>107</v>
      </c>
      <c r="B108" s="13" t="s">
        <v>9</v>
      </c>
      <c r="C108" s="13" t="s">
        <v>10</v>
      </c>
      <c r="D108" s="13" t="s">
        <v>8</v>
      </c>
      <c r="E108" s="13" t="s">
        <v>8</v>
      </c>
      <c r="F108" s="13" t="s">
        <v>5</v>
      </c>
    </row>
    <row r="109" spans="1:6" ht="16" x14ac:dyDescent="0.4">
      <c r="A109" s="13">
        <f t="shared" si="1"/>
        <v>108</v>
      </c>
      <c r="B109" s="13" t="s">
        <v>9</v>
      </c>
      <c r="C109" s="13" t="s">
        <v>10</v>
      </c>
      <c r="D109" s="13" t="s">
        <v>8</v>
      </c>
      <c r="E109" s="13" t="s">
        <v>8</v>
      </c>
      <c r="F109" s="13" t="s">
        <v>5</v>
      </c>
    </row>
    <row r="110" spans="1:6" ht="16" x14ac:dyDescent="0.4">
      <c r="A110" s="13">
        <f t="shared" si="1"/>
        <v>109</v>
      </c>
      <c r="B110" s="13" t="s">
        <v>9</v>
      </c>
      <c r="C110" s="13" t="s">
        <v>8</v>
      </c>
      <c r="D110" s="13" t="s">
        <v>10</v>
      </c>
      <c r="E110" s="13" t="s">
        <v>10</v>
      </c>
      <c r="F110" s="13" t="s">
        <v>6</v>
      </c>
    </row>
    <row r="111" spans="1:6" ht="16" x14ac:dyDescent="0.4">
      <c r="A111" s="13">
        <f t="shared" si="1"/>
        <v>110</v>
      </c>
      <c r="B111" s="13" t="s">
        <v>9</v>
      </c>
      <c r="C111" s="13" t="s">
        <v>8</v>
      </c>
      <c r="D111" s="13" t="s">
        <v>10</v>
      </c>
      <c r="E111" s="13" t="s">
        <v>10</v>
      </c>
      <c r="F111" s="13" t="s">
        <v>7</v>
      </c>
    </row>
    <row r="112" spans="1:6" ht="16" x14ac:dyDescent="0.4">
      <c r="A112" s="13">
        <f t="shared" si="1"/>
        <v>111</v>
      </c>
      <c r="B112" s="13" t="s">
        <v>9</v>
      </c>
      <c r="C112" s="13" t="s">
        <v>8</v>
      </c>
      <c r="D112" s="13" t="s">
        <v>10</v>
      </c>
      <c r="E112" s="13" t="s">
        <v>10</v>
      </c>
      <c r="F112" s="13" t="s">
        <v>7</v>
      </c>
    </row>
    <row r="113" spans="1:6" ht="16" x14ac:dyDescent="0.4">
      <c r="A113" s="13">
        <f t="shared" si="1"/>
        <v>112</v>
      </c>
      <c r="B113" s="13" t="s">
        <v>9</v>
      </c>
      <c r="C113" s="13" t="s">
        <v>8</v>
      </c>
      <c r="D113" s="13" t="s">
        <v>10</v>
      </c>
      <c r="E113" s="13" t="s">
        <v>10</v>
      </c>
      <c r="F113" s="13" t="s">
        <v>7</v>
      </c>
    </row>
    <row r="114" spans="1:6" ht="16" x14ac:dyDescent="0.4">
      <c r="A114" s="13">
        <f t="shared" si="1"/>
        <v>113</v>
      </c>
      <c r="B114" s="13" t="s">
        <v>9</v>
      </c>
      <c r="C114" s="13" t="s">
        <v>8</v>
      </c>
      <c r="D114" s="13" t="s">
        <v>10</v>
      </c>
      <c r="E114" s="13" t="s">
        <v>10</v>
      </c>
      <c r="F114" s="13" t="s">
        <v>7</v>
      </c>
    </row>
    <row r="115" spans="1:6" ht="16" x14ac:dyDescent="0.4">
      <c r="A115" s="13">
        <f t="shared" si="1"/>
        <v>114</v>
      </c>
      <c r="B115" s="13" t="s">
        <v>9</v>
      </c>
      <c r="C115" s="13" t="s">
        <v>8</v>
      </c>
      <c r="D115" s="13" t="s">
        <v>10</v>
      </c>
      <c r="E115" s="13" t="s">
        <v>10</v>
      </c>
      <c r="F115" s="13" t="s">
        <v>7</v>
      </c>
    </row>
    <row r="116" spans="1:6" ht="16" x14ac:dyDescent="0.4">
      <c r="A116" s="13">
        <f t="shared" si="1"/>
        <v>115</v>
      </c>
      <c r="B116" s="13" t="s">
        <v>9</v>
      </c>
      <c r="C116" s="13" t="s">
        <v>8</v>
      </c>
      <c r="D116" s="13" t="s">
        <v>9</v>
      </c>
      <c r="E116" s="13" t="s">
        <v>10</v>
      </c>
      <c r="F116" s="13" t="s">
        <v>7</v>
      </c>
    </row>
    <row r="117" spans="1:6" ht="16" x14ac:dyDescent="0.4">
      <c r="A117" s="13">
        <f t="shared" si="1"/>
        <v>116</v>
      </c>
      <c r="B117" s="13" t="s">
        <v>9</v>
      </c>
      <c r="C117" s="13" t="s">
        <v>10</v>
      </c>
      <c r="D117" s="13" t="s">
        <v>10</v>
      </c>
      <c r="E117" s="13" t="s">
        <v>10</v>
      </c>
      <c r="F117" s="13" t="s">
        <v>7</v>
      </c>
    </row>
    <row r="118" spans="1:6" ht="16" x14ac:dyDescent="0.4">
      <c r="A118" s="13">
        <f t="shared" si="1"/>
        <v>117</v>
      </c>
      <c r="B118" s="13" t="s">
        <v>9</v>
      </c>
      <c r="C118" s="13" t="s">
        <v>10</v>
      </c>
      <c r="D118" s="13" t="s">
        <v>9</v>
      </c>
      <c r="E118" s="13" t="s">
        <v>10</v>
      </c>
      <c r="F118" s="13" t="s">
        <v>6</v>
      </c>
    </row>
    <row r="119" spans="1:6" ht="16" x14ac:dyDescent="0.4">
      <c r="A119" s="13">
        <f t="shared" si="1"/>
        <v>118</v>
      </c>
      <c r="B119" s="13" t="s">
        <v>9</v>
      </c>
      <c r="C119" s="13" t="s">
        <v>9</v>
      </c>
      <c r="D119" s="13" t="s">
        <v>10</v>
      </c>
      <c r="E119" s="13" t="s">
        <v>10</v>
      </c>
      <c r="F119" s="13" t="s">
        <v>7</v>
      </c>
    </row>
    <row r="120" spans="1:6" ht="16" x14ac:dyDescent="0.4">
      <c r="A120" s="13">
        <f t="shared" si="1"/>
        <v>119</v>
      </c>
      <c r="B120" s="13" t="s">
        <v>9</v>
      </c>
      <c r="C120" s="13" t="s">
        <v>9</v>
      </c>
      <c r="D120" s="13" t="s">
        <v>10</v>
      </c>
      <c r="E120" s="13" t="s">
        <v>10</v>
      </c>
      <c r="F120" s="13" t="s">
        <v>7</v>
      </c>
    </row>
    <row r="121" spans="1:6" ht="16" x14ac:dyDescent="0.4">
      <c r="A121" s="13">
        <f t="shared" si="1"/>
        <v>120</v>
      </c>
      <c r="B121" s="13" t="s">
        <v>9</v>
      </c>
      <c r="C121" s="13" t="s">
        <v>9</v>
      </c>
      <c r="D121" s="13" t="s">
        <v>9</v>
      </c>
      <c r="E121" s="13" t="s">
        <v>10</v>
      </c>
      <c r="F121" s="13" t="s">
        <v>6</v>
      </c>
    </row>
    <row r="122" spans="1:6" ht="16" x14ac:dyDescent="0.4">
      <c r="A122" s="13">
        <f t="shared" si="1"/>
        <v>121</v>
      </c>
      <c r="B122" s="13" t="s">
        <v>9</v>
      </c>
      <c r="C122" s="13" t="s">
        <v>9</v>
      </c>
      <c r="D122" s="13" t="s">
        <v>9</v>
      </c>
      <c r="E122" s="13" t="s">
        <v>10</v>
      </c>
      <c r="F122" s="13" t="s">
        <v>7</v>
      </c>
    </row>
    <row r="123" spans="1:6" ht="16" x14ac:dyDescent="0.4">
      <c r="A123" s="13">
        <f t="shared" si="1"/>
        <v>122</v>
      </c>
      <c r="B123" s="13" t="s">
        <v>9</v>
      </c>
      <c r="C123" s="13" t="s">
        <v>8</v>
      </c>
      <c r="D123" s="13" t="s">
        <v>10</v>
      </c>
      <c r="E123" s="13" t="s">
        <v>9</v>
      </c>
      <c r="F123" s="13" t="s">
        <v>7</v>
      </c>
    </row>
    <row r="124" spans="1:6" ht="16" x14ac:dyDescent="0.4">
      <c r="A124" s="13">
        <f t="shared" si="1"/>
        <v>123</v>
      </c>
      <c r="B124" s="13" t="s">
        <v>9</v>
      </c>
      <c r="C124" s="13" t="s">
        <v>8</v>
      </c>
      <c r="D124" s="13" t="s">
        <v>10</v>
      </c>
      <c r="E124" s="13" t="s">
        <v>9</v>
      </c>
      <c r="F124" s="13" t="s">
        <v>7</v>
      </c>
    </row>
    <row r="125" spans="1:6" ht="16" x14ac:dyDescent="0.4">
      <c r="A125" s="13">
        <f t="shared" si="1"/>
        <v>124</v>
      </c>
      <c r="B125" s="13" t="s">
        <v>9</v>
      </c>
      <c r="C125" s="13" t="s">
        <v>8</v>
      </c>
      <c r="D125" s="13" t="s">
        <v>9</v>
      </c>
      <c r="E125" s="13" t="s">
        <v>9</v>
      </c>
      <c r="F125" s="13" t="s">
        <v>6</v>
      </c>
    </row>
    <row r="126" spans="1:6" ht="16" x14ac:dyDescent="0.4">
      <c r="A126" s="13">
        <f t="shared" si="1"/>
        <v>125</v>
      </c>
      <c r="B126" s="13" t="s">
        <v>9</v>
      </c>
      <c r="C126" s="13" t="s">
        <v>8</v>
      </c>
      <c r="D126" s="13" t="s">
        <v>9</v>
      </c>
      <c r="E126" s="13" t="s">
        <v>9</v>
      </c>
      <c r="F126" s="13" t="s">
        <v>6</v>
      </c>
    </row>
    <row r="127" spans="1:6" ht="16" x14ac:dyDescent="0.4">
      <c r="A127" s="13">
        <f t="shared" si="1"/>
        <v>126</v>
      </c>
      <c r="B127" s="13" t="s">
        <v>9</v>
      </c>
      <c r="C127" s="13" t="s">
        <v>8</v>
      </c>
      <c r="D127" s="13" t="s">
        <v>9</v>
      </c>
      <c r="E127" s="13" t="s">
        <v>9</v>
      </c>
      <c r="F127" s="13" t="s">
        <v>6</v>
      </c>
    </row>
    <row r="128" spans="1:6" ht="16" x14ac:dyDescent="0.4">
      <c r="A128" s="13">
        <f t="shared" si="1"/>
        <v>127</v>
      </c>
      <c r="B128" s="13" t="s">
        <v>9</v>
      </c>
      <c r="C128" s="13" t="s">
        <v>8</v>
      </c>
      <c r="D128" s="13" t="s">
        <v>9</v>
      </c>
      <c r="E128" s="13" t="s">
        <v>9</v>
      </c>
      <c r="F128" s="13" t="s">
        <v>6</v>
      </c>
    </row>
    <row r="129" spans="1:6" ht="16" x14ac:dyDescent="0.4">
      <c r="A129" s="13">
        <f t="shared" si="1"/>
        <v>128</v>
      </c>
      <c r="B129" s="13" t="s">
        <v>9</v>
      </c>
      <c r="C129" s="13" t="s">
        <v>8</v>
      </c>
      <c r="D129" s="13" t="s">
        <v>9</v>
      </c>
      <c r="E129" s="13" t="s">
        <v>9</v>
      </c>
      <c r="F129" s="13" t="s">
        <v>6</v>
      </c>
    </row>
    <row r="130" spans="1:6" ht="16" x14ac:dyDescent="0.4">
      <c r="A130" s="13">
        <f t="shared" si="1"/>
        <v>129</v>
      </c>
      <c r="B130" s="13" t="s">
        <v>9</v>
      </c>
      <c r="C130" s="13" t="s">
        <v>8</v>
      </c>
      <c r="D130" s="13" t="s">
        <v>9</v>
      </c>
      <c r="E130" s="13" t="s">
        <v>9</v>
      </c>
      <c r="F130" s="13" t="s">
        <v>6</v>
      </c>
    </row>
    <row r="131" spans="1:6" ht="16" x14ac:dyDescent="0.4">
      <c r="A131" s="13">
        <f t="shared" si="1"/>
        <v>130</v>
      </c>
      <c r="B131" s="13" t="s">
        <v>9</v>
      </c>
      <c r="C131" s="13" t="s">
        <v>8</v>
      </c>
      <c r="D131" s="13" t="s">
        <v>9</v>
      </c>
      <c r="E131" s="13" t="s">
        <v>9</v>
      </c>
      <c r="F131" s="13" t="s">
        <v>6</v>
      </c>
    </row>
    <row r="132" spans="1:6" ht="16" x14ac:dyDescent="0.4">
      <c r="A132" s="13">
        <f t="shared" ref="A132:A151" si="2">1+A131</f>
        <v>131</v>
      </c>
      <c r="B132" s="13" t="s">
        <v>9</v>
      </c>
      <c r="C132" s="13" t="s">
        <v>8</v>
      </c>
      <c r="D132" s="13" t="s">
        <v>9</v>
      </c>
      <c r="E132" s="13" t="s">
        <v>9</v>
      </c>
      <c r="F132" s="13" t="s">
        <v>6</v>
      </c>
    </row>
    <row r="133" spans="1:6" ht="16" x14ac:dyDescent="0.4">
      <c r="A133" s="13">
        <f t="shared" si="2"/>
        <v>132</v>
      </c>
      <c r="B133" s="13" t="s">
        <v>9</v>
      </c>
      <c r="C133" s="13" t="s">
        <v>8</v>
      </c>
      <c r="D133" s="13" t="s">
        <v>9</v>
      </c>
      <c r="E133" s="13" t="s">
        <v>9</v>
      </c>
      <c r="F133" s="13" t="s">
        <v>6</v>
      </c>
    </row>
    <row r="134" spans="1:6" ht="16" x14ac:dyDescent="0.4">
      <c r="A134" s="13">
        <f t="shared" si="2"/>
        <v>133</v>
      </c>
      <c r="B134" s="13" t="s">
        <v>9</v>
      </c>
      <c r="C134" s="13" t="s">
        <v>8</v>
      </c>
      <c r="D134" s="13" t="s">
        <v>9</v>
      </c>
      <c r="E134" s="13" t="s">
        <v>9</v>
      </c>
      <c r="F134" s="13" t="s">
        <v>6</v>
      </c>
    </row>
    <row r="135" spans="1:6" ht="16" x14ac:dyDescent="0.4">
      <c r="A135" s="13">
        <f t="shared" si="2"/>
        <v>134</v>
      </c>
      <c r="B135" s="13" t="s">
        <v>9</v>
      </c>
      <c r="C135" s="13" t="s">
        <v>8</v>
      </c>
      <c r="D135" s="13" t="s">
        <v>9</v>
      </c>
      <c r="E135" s="13" t="s">
        <v>9</v>
      </c>
      <c r="F135" s="13" t="s">
        <v>6</v>
      </c>
    </row>
    <row r="136" spans="1:6" ht="16" x14ac:dyDescent="0.4">
      <c r="A136" s="13">
        <f t="shared" si="2"/>
        <v>135</v>
      </c>
      <c r="B136" s="13" t="s">
        <v>9</v>
      </c>
      <c r="C136" s="13" t="s">
        <v>8</v>
      </c>
      <c r="D136" s="13" t="s">
        <v>9</v>
      </c>
      <c r="E136" s="13" t="s">
        <v>9</v>
      </c>
      <c r="F136" s="13" t="s">
        <v>6</v>
      </c>
    </row>
    <row r="137" spans="1:6" ht="16" x14ac:dyDescent="0.4">
      <c r="A137" s="13">
        <f t="shared" si="2"/>
        <v>136</v>
      </c>
      <c r="B137" s="13" t="s">
        <v>9</v>
      </c>
      <c r="C137" s="13" t="s">
        <v>8</v>
      </c>
      <c r="D137" s="13" t="s">
        <v>9</v>
      </c>
      <c r="E137" s="13" t="s">
        <v>9</v>
      </c>
      <c r="F137" s="13" t="s">
        <v>6</v>
      </c>
    </row>
    <row r="138" spans="1:6" ht="16" x14ac:dyDescent="0.4">
      <c r="A138" s="13">
        <f t="shared" si="2"/>
        <v>137</v>
      </c>
      <c r="B138" s="13" t="s">
        <v>9</v>
      </c>
      <c r="C138" s="13" t="s">
        <v>8</v>
      </c>
      <c r="D138" s="13" t="s">
        <v>9</v>
      </c>
      <c r="E138" s="13" t="s">
        <v>9</v>
      </c>
      <c r="F138" s="13" t="s">
        <v>6</v>
      </c>
    </row>
    <row r="139" spans="1:6" ht="16" x14ac:dyDescent="0.4">
      <c r="A139" s="13">
        <f t="shared" si="2"/>
        <v>138</v>
      </c>
      <c r="B139" s="13" t="s">
        <v>9</v>
      </c>
      <c r="C139" s="13" t="s">
        <v>8</v>
      </c>
      <c r="D139" s="13" t="s">
        <v>9</v>
      </c>
      <c r="E139" s="13" t="s">
        <v>9</v>
      </c>
      <c r="F139" s="13" t="s">
        <v>6</v>
      </c>
    </row>
    <row r="140" spans="1:6" ht="16" x14ac:dyDescent="0.4">
      <c r="A140" s="13">
        <f t="shared" si="2"/>
        <v>139</v>
      </c>
      <c r="B140" s="13" t="s">
        <v>9</v>
      </c>
      <c r="C140" s="13" t="s">
        <v>8</v>
      </c>
      <c r="D140" s="13" t="s">
        <v>9</v>
      </c>
      <c r="E140" s="13" t="s">
        <v>9</v>
      </c>
      <c r="F140" s="13" t="s">
        <v>6</v>
      </c>
    </row>
    <row r="141" spans="1:6" ht="16" x14ac:dyDescent="0.4">
      <c r="A141" s="13">
        <f t="shared" si="2"/>
        <v>140</v>
      </c>
      <c r="B141" s="13" t="s">
        <v>9</v>
      </c>
      <c r="C141" s="13" t="s">
        <v>8</v>
      </c>
      <c r="D141" s="13" t="s">
        <v>9</v>
      </c>
      <c r="E141" s="13" t="s">
        <v>9</v>
      </c>
      <c r="F141" s="13" t="s">
        <v>6</v>
      </c>
    </row>
    <row r="142" spans="1:6" ht="16" x14ac:dyDescent="0.4">
      <c r="A142" s="13">
        <f t="shared" si="2"/>
        <v>141</v>
      </c>
      <c r="B142" s="13" t="s">
        <v>9</v>
      </c>
      <c r="C142" s="13" t="s">
        <v>8</v>
      </c>
      <c r="D142" s="13" t="s">
        <v>9</v>
      </c>
      <c r="E142" s="13" t="s">
        <v>9</v>
      </c>
      <c r="F142" s="13" t="s">
        <v>6</v>
      </c>
    </row>
    <row r="143" spans="1:6" ht="16" x14ac:dyDescent="0.4">
      <c r="A143" s="13">
        <f t="shared" si="2"/>
        <v>142</v>
      </c>
      <c r="B143" s="13" t="s">
        <v>9</v>
      </c>
      <c r="C143" s="13" t="s">
        <v>8</v>
      </c>
      <c r="D143" s="13" t="s">
        <v>9</v>
      </c>
      <c r="E143" s="13" t="s">
        <v>9</v>
      </c>
      <c r="F143" s="13" t="s">
        <v>6</v>
      </c>
    </row>
    <row r="144" spans="1:6" ht="16" x14ac:dyDescent="0.4">
      <c r="A144" s="13">
        <f t="shared" si="2"/>
        <v>143</v>
      </c>
      <c r="B144" s="13" t="s">
        <v>9</v>
      </c>
      <c r="C144" s="13" t="s">
        <v>8</v>
      </c>
      <c r="D144" s="13" t="s">
        <v>9</v>
      </c>
      <c r="E144" s="13" t="s">
        <v>9</v>
      </c>
      <c r="F144" s="13" t="s">
        <v>6</v>
      </c>
    </row>
    <row r="145" spans="1:18" ht="16" x14ac:dyDescent="0.4">
      <c r="A145" s="13">
        <f t="shared" si="2"/>
        <v>144</v>
      </c>
      <c r="B145" s="13" t="s">
        <v>9</v>
      </c>
      <c r="C145" s="13" t="s">
        <v>8</v>
      </c>
      <c r="D145" s="13" t="s">
        <v>9</v>
      </c>
      <c r="E145" s="13" t="s">
        <v>9</v>
      </c>
      <c r="F145" s="13" t="s">
        <v>6</v>
      </c>
    </row>
    <row r="146" spans="1:18" ht="16" x14ac:dyDescent="0.4">
      <c r="A146" s="13">
        <f t="shared" si="2"/>
        <v>145</v>
      </c>
      <c r="B146" s="13" t="s">
        <v>9</v>
      </c>
      <c r="C146" s="13" t="s">
        <v>8</v>
      </c>
      <c r="D146" s="13" t="s">
        <v>9</v>
      </c>
      <c r="E146" s="13" t="s">
        <v>9</v>
      </c>
      <c r="F146" s="13" t="s">
        <v>6</v>
      </c>
    </row>
    <row r="147" spans="1:18" ht="16" x14ac:dyDescent="0.4">
      <c r="A147" s="13">
        <f t="shared" si="2"/>
        <v>146</v>
      </c>
      <c r="B147" s="13" t="s">
        <v>9</v>
      </c>
      <c r="C147" s="13" t="s">
        <v>9</v>
      </c>
      <c r="D147" s="13" t="s">
        <v>9</v>
      </c>
      <c r="E147" s="13" t="s">
        <v>9</v>
      </c>
      <c r="F147" s="13" t="s">
        <v>6</v>
      </c>
    </row>
    <row r="148" spans="1:18" ht="16" x14ac:dyDescent="0.4">
      <c r="A148" s="13">
        <f t="shared" si="2"/>
        <v>147</v>
      </c>
      <c r="B148" s="13" t="s">
        <v>9</v>
      </c>
      <c r="C148" s="13" t="s">
        <v>9</v>
      </c>
      <c r="D148" s="13" t="s">
        <v>9</v>
      </c>
      <c r="E148" s="13" t="s">
        <v>9</v>
      </c>
      <c r="F148" s="13" t="s">
        <v>6</v>
      </c>
    </row>
    <row r="149" spans="1:18" ht="26" x14ac:dyDescent="0.4">
      <c r="A149" s="13">
        <f t="shared" si="2"/>
        <v>148</v>
      </c>
      <c r="B149" s="13" t="s">
        <v>9</v>
      </c>
      <c r="C149" s="13" t="s">
        <v>9</v>
      </c>
      <c r="D149" s="13" t="s">
        <v>9</v>
      </c>
      <c r="E149" s="13" t="s">
        <v>9</v>
      </c>
      <c r="F149" s="13" t="s">
        <v>6</v>
      </c>
      <c r="J149" s="4"/>
    </row>
    <row r="150" spans="1:18" ht="16" x14ac:dyDescent="0.4">
      <c r="A150" s="13">
        <f t="shared" si="2"/>
        <v>149</v>
      </c>
      <c r="B150" s="13" t="s">
        <v>9</v>
      </c>
      <c r="C150" s="13" t="s">
        <v>9</v>
      </c>
      <c r="D150" s="13" t="s">
        <v>9</v>
      </c>
      <c r="E150" s="13" t="s">
        <v>9</v>
      </c>
      <c r="F150" s="13" t="s">
        <v>6</v>
      </c>
    </row>
    <row r="151" spans="1:18" ht="16" x14ac:dyDescent="0.4">
      <c r="A151" s="13">
        <f t="shared" si="2"/>
        <v>150</v>
      </c>
      <c r="B151" s="13" t="s">
        <v>9</v>
      </c>
      <c r="C151" s="13" t="s">
        <v>9</v>
      </c>
      <c r="D151" s="13" t="s">
        <v>9</v>
      </c>
      <c r="E151" s="13" t="s">
        <v>9</v>
      </c>
      <c r="F151" s="13" t="s">
        <v>6</v>
      </c>
      <c r="J151" t="s">
        <v>22</v>
      </c>
      <c r="M151" s="5" t="s">
        <v>32</v>
      </c>
    </row>
    <row r="152" spans="1:18" x14ac:dyDescent="0.35">
      <c r="J152" s="7" t="s">
        <v>17</v>
      </c>
      <c r="K152" s="7">
        <v>150</v>
      </c>
      <c r="L152" s="7"/>
      <c r="M152" s="7" t="s">
        <v>21</v>
      </c>
    </row>
    <row r="153" spans="1:18" x14ac:dyDescent="0.35">
      <c r="J153" s="8" t="s">
        <v>11</v>
      </c>
      <c r="K153" s="8">
        <v>50</v>
      </c>
      <c r="L153" s="8" t="s">
        <v>18</v>
      </c>
      <c r="M153" s="8">
        <f>K153/$K$152</f>
        <v>0.33333333333333331</v>
      </c>
    </row>
    <row r="154" spans="1:18" x14ac:dyDescent="0.35">
      <c r="J154" s="8" t="s">
        <v>16</v>
      </c>
      <c r="K154" s="8">
        <v>50</v>
      </c>
      <c r="L154" s="8" t="s">
        <v>19</v>
      </c>
      <c r="M154" s="8">
        <f t="shared" ref="M154:M155" si="3">K154/$K$152</f>
        <v>0.33333333333333331</v>
      </c>
    </row>
    <row r="155" spans="1:18" x14ac:dyDescent="0.35">
      <c r="J155" s="8" t="s">
        <v>12</v>
      </c>
      <c r="K155" s="8">
        <v>50</v>
      </c>
      <c r="L155" s="8" t="s">
        <v>20</v>
      </c>
      <c r="M155" s="8">
        <f t="shared" si="3"/>
        <v>0.33333333333333331</v>
      </c>
    </row>
    <row r="156" spans="1:18" x14ac:dyDescent="0.35">
      <c r="P156" t="s">
        <v>27</v>
      </c>
    </row>
    <row r="157" spans="1:18" x14ac:dyDescent="0.35">
      <c r="J157" t="s">
        <v>28</v>
      </c>
      <c r="P157" s="6" t="s">
        <v>23</v>
      </c>
      <c r="Q157" t="s">
        <v>33</v>
      </c>
      <c r="R157" t="s">
        <v>34</v>
      </c>
    </row>
    <row r="158" spans="1:18" ht="16" x14ac:dyDescent="0.4">
      <c r="J158" s="11" t="s">
        <v>0</v>
      </c>
      <c r="K158" s="11"/>
      <c r="L158" s="11" t="s">
        <v>13</v>
      </c>
      <c r="M158" s="11" t="s">
        <v>14</v>
      </c>
      <c r="N158" s="11" t="s">
        <v>15</v>
      </c>
      <c r="P158" s="9" t="s">
        <v>13</v>
      </c>
      <c r="Q158" s="9" t="s">
        <v>14</v>
      </c>
      <c r="R158" s="9" t="s">
        <v>15</v>
      </c>
    </row>
    <row r="159" spans="1:18" ht="16" x14ac:dyDescent="0.4">
      <c r="J159" s="14" t="s">
        <v>4</v>
      </c>
      <c r="K159" s="14" t="s">
        <v>11</v>
      </c>
      <c r="L159" s="13">
        <v>45</v>
      </c>
      <c r="M159" s="13">
        <f>5</f>
        <v>5</v>
      </c>
      <c r="N159" s="13">
        <v>0</v>
      </c>
      <c r="P159" s="10">
        <f>L159/SUM(L159:N159)</f>
        <v>0.9</v>
      </c>
      <c r="Q159" s="10">
        <f>M159/SUM(L159:N159)</f>
        <v>0.1</v>
      </c>
      <c r="R159" s="10">
        <f>N159/SUM(L159:N159)</f>
        <v>0</v>
      </c>
    </row>
    <row r="160" spans="1:18" ht="16" x14ac:dyDescent="0.4">
      <c r="J160" s="14"/>
      <c r="K160" s="14" t="s">
        <v>16</v>
      </c>
      <c r="L160" s="13">
        <f>6</f>
        <v>6</v>
      </c>
      <c r="M160" s="13">
        <v>30</v>
      </c>
      <c r="N160" s="13">
        <v>14</v>
      </c>
      <c r="P160" s="10">
        <f t="shared" ref="P160:P161" si="4">L160/SUM(L160:N160)</f>
        <v>0.12</v>
      </c>
      <c r="Q160" s="10">
        <f t="shared" ref="Q160:Q161" si="5">M160/SUM(L160:N160)</f>
        <v>0.6</v>
      </c>
      <c r="R160" s="10">
        <f t="shared" ref="R160:R161" si="6">N160/SUM(L160:N160)</f>
        <v>0.28000000000000003</v>
      </c>
    </row>
    <row r="161" spans="10:18" ht="16" x14ac:dyDescent="0.4">
      <c r="J161" s="14"/>
      <c r="K161" s="14" t="s">
        <v>12</v>
      </c>
      <c r="L161" s="13">
        <f>1</f>
        <v>1</v>
      </c>
      <c r="M161" s="13">
        <v>12</v>
      </c>
      <c r="N161" s="13">
        <v>37</v>
      </c>
      <c r="P161" s="10">
        <f t="shared" si="4"/>
        <v>0.02</v>
      </c>
      <c r="Q161" s="10">
        <f t="shared" si="5"/>
        <v>0.24</v>
      </c>
      <c r="R161" s="10">
        <f t="shared" si="6"/>
        <v>0.74</v>
      </c>
    </row>
    <row r="163" spans="10:18" x14ac:dyDescent="0.35">
      <c r="J163" t="s">
        <v>29</v>
      </c>
      <c r="P163" t="s">
        <v>24</v>
      </c>
      <c r="Q163" t="s">
        <v>35</v>
      </c>
      <c r="R163" t="s">
        <v>36</v>
      </c>
    </row>
    <row r="164" spans="10:18" ht="16" x14ac:dyDescent="0.4">
      <c r="J164" s="16" t="s">
        <v>1</v>
      </c>
      <c r="K164" s="16"/>
      <c r="L164" s="17" t="s">
        <v>13</v>
      </c>
      <c r="M164" s="17" t="s">
        <v>14</v>
      </c>
      <c r="N164" s="17" t="s">
        <v>15</v>
      </c>
      <c r="P164" s="15" t="s">
        <v>13</v>
      </c>
      <c r="Q164" s="15" t="s">
        <v>14</v>
      </c>
      <c r="R164" s="15" t="s">
        <v>15</v>
      </c>
    </row>
    <row r="165" spans="10:18" ht="16" x14ac:dyDescent="0.4">
      <c r="J165" s="12" t="s">
        <v>4</v>
      </c>
      <c r="K165" s="12" t="s">
        <v>11</v>
      </c>
      <c r="L165" s="13">
        <v>2</v>
      </c>
      <c r="M165" s="13">
        <v>16</v>
      </c>
      <c r="N165" s="13">
        <v>32</v>
      </c>
      <c r="P165" s="10">
        <f>L165/SUM(L165:N165)</f>
        <v>0.04</v>
      </c>
      <c r="Q165" s="10">
        <f>M165/SUM(L165:N165)</f>
        <v>0.32</v>
      </c>
      <c r="R165" s="10">
        <f>N165/SUM(L165:N165)</f>
        <v>0.64</v>
      </c>
    </row>
    <row r="166" spans="10:18" ht="16" x14ac:dyDescent="0.4">
      <c r="J166" s="12"/>
      <c r="K166" s="12" t="s">
        <v>16</v>
      </c>
      <c r="L166" s="13">
        <v>34</v>
      </c>
      <c r="M166" s="13">
        <v>14</v>
      </c>
      <c r="N166" s="13">
        <v>2</v>
      </c>
      <c r="P166" s="10">
        <f t="shared" ref="P166:P167" si="7">L166/SUM(L166:N166)</f>
        <v>0.68</v>
      </c>
      <c r="Q166" s="10">
        <f t="shared" ref="Q166:Q167" si="8">M166/SUM(L166:N166)</f>
        <v>0.28000000000000003</v>
      </c>
      <c r="R166" s="10">
        <f t="shared" ref="R166:R167" si="9">N166/SUM(L166:N166)</f>
        <v>0.04</v>
      </c>
    </row>
    <row r="167" spans="10:18" ht="16" x14ac:dyDescent="0.4">
      <c r="J167" s="12"/>
      <c r="K167" s="12" t="s">
        <v>12</v>
      </c>
      <c r="L167" s="13">
        <v>21</v>
      </c>
      <c r="M167" s="13">
        <v>21</v>
      </c>
      <c r="N167" s="13">
        <v>8</v>
      </c>
      <c r="P167" s="10">
        <f t="shared" si="7"/>
        <v>0.42</v>
      </c>
      <c r="Q167" s="10">
        <f t="shared" si="8"/>
        <v>0.42</v>
      </c>
      <c r="R167" s="10">
        <f t="shared" si="9"/>
        <v>0.16</v>
      </c>
    </row>
    <row r="169" spans="10:18" x14ac:dyDescent="0.35">
      <c r="J169" t="s">
        <v>30</v>
      </c>
      <c r="P169" t="s">
        <v>25</v>
      </c>
      <c r="Q169" t="s">
        <v>37</v>
      </c>
      <c r="R169" t="s">
        <v>38</v>
      </c>
    </row>
    <row r="170" spans="10:18" ht="16" x14ac:dyDescent="0.4">
      <c r="J170" s="18" t="s">
        <v>2</v>
      </c>
      <c r="K170" s="18"/>
      <c r="L170" s="18" t="s">
        <v>13</v>
      </c>
      <c r="M170" s="18" t="s">
        <v>14</v>
      </c>
      <c r="N170" s="18" t="s">
        <v>15</v>
      </c>
      <c r="P170" s="18" t="s">
        <v>13</v>
      </c>
      <c r="Q170" s="18" t="s">
        <v>14</v>
      </c>
      <c r="R170" s="18" t="s">
        <v>15</v>
      </c>
    </row>
    <row r="171" spans="10:18" ht="16" x14ac:dyDescent="0.4">
      <c r="J171" s="19" t="s">
        <v>4</v>
      </c>
      <c r="K171" s="19" t="s">
        <v>11</v>
      </c>
      <c r="L171" s="10">
        <v>50</v>
      </c>
      <c r="M171" s="10">
        <v>0</v>
      </c>
      <c r="N171" s="10">
        <v>0</v>
      </c>
      <c r="P171" s="10">
        <f>L171/SUM(L171:N171)</f>
        <v>1</v>
      </c>
      <c r="Q171" s="10">
        <f>M171/SUM(L171:N171)</f>
        <v>0</v>
      </c>
      <c r="R171" s="10">
        <f>N171/SUM(L171:N171)</f>
        <v>0</v>
      </c>
    </row>
    <row r="172" spans="10:18" ht="16" x14ac:dyDescent="0.4">
      <c r="J172" s="19"/>
      <c r="K172" s="19" t="s">
        <v>16</v>
      </c>
      <c r="L172" s="10">
        <v>1</v>
      </c>
      <c r="M172" s="10">
        <v>45</v>
      </c>
      <c r="N172" s="10">
        <v>4</v>
      </c>
      <c r="P172" s="10">
        <f t="shared" ref="P172:P173" si="10">L172/SUM(L172:N172)</f>
        <v>0.02</v>
      </c>
      <c r="Q172" s="10">
        <f t="shared" ref="Q172:Q173" si="11">M172/SUM(L172:N172)</f>
        <v>0.9</v>
      </c>
      <c r="R172" s="10">
        <f t="shared" ref="R172:R173" si="12">N172/SUM(L172:N172)</f>
        <v>0.08</v>
      </c>
    </row>
    <row r="173" spans="10:18" ht="16" x14ac:dyDescent="0.4">
      <c r="J173" s="19"/>
      <c r="K173" s="19" t="s">
        <v>12</v>
      </c>
      <c r="L173" s="10">
        <v>0</v>
      </c>
      <c r="M173" s="10">
        <v>3</v>
      </c>
      <c r="N173" s="10">
        <v>47</v>
      </c>
      <c r="P173" s="10">
        <f t="shared" si="10"/>
        <v>0</v>
      </c>
      <c r="Q173" s="10">
        <f t="shared" si="11"/>
        <v>0.06</v>
      </c>
      <c r="R173" s="10">
        <f t="shared" si="12"/>
        <v>0.94</v>
      </c>
    </row>
    <row r="175" spans="10:18" x14ac:dyDescent="0.35">
      <c r="J175" t="s">
        <v>31</v>
      </c>
      <c r="P175" t="s">
        <v>26</v>
      </c>
      <c r="Q175" t="s">
        <v>39</v>
      </c>
      <c r="R175" t="s">
        <v>40</v>
      </c>
    </row>
    <row r="176" spans="10:18" ht="16" x14ac:dyDescent="0.4">
      <c r="J176" s="20" t="s">
        <v>3</v>
      </c>
      <c r="K176" s="20"/>
      <c r="L176" s="20" t="s">
        <v>13</v>
      </c>
      <c r="M176" s="20" t="s">
        <v>14</v>
      </c>
      <c r="N176" s="20" t="s">
        <v>15</v>
      </c>
      <c r="P176" s="20" t="s">
        <v>13</v>
      </c>
      <c r="Q176" s="20" t="s">
        <v>14</v>
      </c>
      <c r="R176" s="20" t="s">
        <v>15</v>
      </c>
    </row>
    <row r="177" spans="10:18" ht="16" x14ac:dyDescent="0.4">
      <c r="J177" s="19" t="s">
        <v>4</v>
      </c>
      <c r="K177" s="19" t="s">
        <v>11</v>
      </c>
      <c r="L177" s="10">
        <v>50</v>
      </c>
      <c r="M177" s="10">
        <v>0</v>
      </c>
      <c r="N177" s="10">
        <v>0</v>
      </c>
      <c r="P177" s="10">
        <f>L177/SUM(L177:N177)</f>
        <v>1</v>
      </c>
      <c r="Q177" s="10">
        <f>M177/SUM(L177:N177)</f>
        <v>0</v>
      </c>
      <c r="R177" s="10">
        <f>N177/SUM(L177:N177)</f>
        <v>0</v>
      </c>
    </row>
    <row r="178" spans="10:18" ht="16" x14ac:dyDescent="0.4">
      <c r="J178" s="19"/>
      <c r="K178" s="19" t="s">
        <v>16</v>
      </c>
      <c r="L178" s="10">
        <v>0</v>
      </c>
      <c r="M178" s="10">
        <v>45</v>
      </c>
      <c r="N178" s="10">
        <v>5</v>
      </c>
      <c r="P178" s="10">
        <f t="shared" ref="P178:P179" si="13">L178/SUM(L178:N178)</f>
        <v>0</v>
      </c>
      <c r="Q178" s="10">
        <f t="shared" ref="Q178:Q179" si="14">M178/SUM(L178:N178)</f>
        <v>0.9</v>
      </c>
      <c r="R178" s="10">
        <f t="shared" ref="R178:R179" si="15">N178/SUM(L178:N178)</f>
        <v>0.1</v>
      </c>
    </row>
    <row r="179" spans="10:18" ht="16" x14ac:dyDescent="0.4">
      <c r="J179" s="19"/>
      <c r="K179" s="19" t="s">
        <v>12</v>
      </c>
      <c r="L179" s="10">
        <v>0</v>
      </c>
      <c r="M179" s="10">
        <v>3</v>
      </c>
      <c r="N179" s="10">
        <v>47</v>
      </c>
      <c r="P179" s="10">
        <f t="shared" si="13"/>
        <v>0</v>
      </c>
      <c r="Q179" s="10">
        <f t="shared" si="14"/>
        <v>0.06</v>
      </c>
      <c r="R179" s="10">
        <f t="shared" si="15"/>
        <v>0.94</v>
      </c>
    </row>
    <row r="263" spans="19:19" x14ac:dyDescent="0.35">
      <c r="S263" s="3"/>
    </row>
    <row r="316" spans="19:19" x14ac:dyDescent="0.35">
      <c r="S316" s="2"/>
    </row>
    <row r="349" spans="19:19" x14ac:dyDescent="0.35">
      <c r="S349" s="3"/>
    </row>
    <row r="402" spans="19:19" x14ac:dyDescent="0.35">
      <c r="S402" s="2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iris.data</vt:lpstr>
      <vt:lpstr>disc_a1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Asunción Cordero</dc:creator>
  <cp:lastModifiedBy>ALISON CABRAL</cp:lastModifiedBy>
  <dcterms:created xsi:type="dcterms:W3CDTF">2025-08-24T02:52:53Z</dcterms:created>
  <dcterms:modified xsi:type="dcterms:W3CDTF">2026-09-03T04:19:39Z</dcterms:modified>
</cp:coreProperties>
</file>